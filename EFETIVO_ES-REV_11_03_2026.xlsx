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slicers/slicer3.xml" ContentType="application/vnd.ms-excel.slicer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26.229.121.246\apjengenharia\OBRAS\CONTRATO ES\1.GESTAO CONTRATUAL\DEPARTAMENTO PESSOAL\"/>
    </mc:Choice>
  </mc:AlternateContent>
  <xr:revisionPtr revIDLastSave="0" documentId="13_ncr:1_{F21FE48D-1FAB-47A4-8917-6495548472B7}" xr6:coauthVersionLast="47" xr6:coauthVersionMax="47" xr10:uidLastSave="{00000000-0000-0000-0000-000000000000}"/>
  <bookViews>
    <workbookView xWindow="28680" yWindow="-120" windowWidth="38640" windowHeight="21120" tabRatio="796" activeTab="1" xr2:uid="{5B08D891-9514-4819-A29A-DCAA535175D4}"/>
  </bookViews>
  <sheets>
    <sheet name="EFETIVO" sheetId="7" r:id="rId1"/>
    <sheet name="CUSTO ESTIMADO" sheetId="15" r:id="rId2"/>
    <sheet name="SUBCONTRATADOS" sheetId="12" r:id="rId3"/>
    <sheet name="E-MAIL'S" sheetId="8" r:id="rId4"/>
    <sheet name="ACORDO SINDICATO" sheetId="14" state="hidden" r:id="rId5"/>
    <sheet name="AUX" sheetId="13" r:id="rId6"/>
    <sheet name="ACORDO UTGC" sheetId="10" state="hidden" r:id="rId7"/>
    <sheet name="ACORDO EDIVIT" sheetId="11" state="hidden" r:id="rId8"/>
  </sheets>
  <definedNames>
    <definedName name="_xlnm._FilterDatabase" localSheetId="1" hidden="1">'CUSTO ESTIMADO'!$A$2:$O$2</definedName>
    <definedName name="_xlnm._FilterDatabase" localSheetId="2" hidden="1">SUBCONTRATADOS!$A$3:$L$26</definedName>
    <definedName name="SegmentaçãodeDados_MOD___MOI">#N/A</definedName>
    <definedName name="SegmentaçãodeDados_SETOR">#N/A</definedName>
    <definedName name="SegmentaçãodeDados_SITUAÇÃO">#N/A</definedName>
    <definedName name="SegmentaçãodeDados_TOMADOR">#N/A</definedName>
    <definedName name="SegmentaçãodeDados_TOMADOR1">#N/A</definedName>
    <definedName name="SegmentaçãodeDados_TOMADOR2">#N/A</definedName>
    <definedName name="_xlnm.Print_Titles" localSheetId="3">'E-MAIL''S'!$1:$4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9"/>
        <x14:slicerCache r:id="rId10"/>
        <x14:slicerCache r:id="rId11"/>
        <x14:slicerCache r:id="rId12"/>
        <x14:slicerCache r:id="rId13"/>
        <x14:slicerCache r:id="rId14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15" l="1"/>
  <c r="M1" i="15"/>
  <c r="L1" i="15"/>
  <c r="G14" i="15"/>
  <c r="H14" i="15" s="1"/>
  <c r="G44" i="15"/>
  <c r="H44" i="15" s="1"/>
  <c r="G21" i="15"/>
  <c r="H21" i="15" s="1"/>
  <c r="N21" i="15" s="1"/>
  <c r="G72" i="15"/>
  <c r="H72" i="15" s="1"/>
  <c r="G79" i="15"/>
  <c r="H79" i="15" s="1"/>
  <c r="N79" i="15" s="1"/>
  <c r="G26" i="15"/>
  <c r="H26" i="15" s="1"/>
  <c r="G34" i="15"/>
  <c r="H34" i="15" s="1"/>
  <c r="G41" i="15"/>
  <c r="H41" i="15" s="1"/>
  <c r="N41" i="15" s="1"/>
  <c r="G46" i="15"/>
  <c r="H46" i="15" s="1"/>
  <c r="G67" i="15"/>
  <c r="H67" i="15" s="1"/>
  <c r="G63" i="15"/>
  <c r="H63" i="15" s="1"/>
  <c r="G66" i="15"/>
  <c r="H66" i="15" s="1"/>
  <c r="G57" i="15"/>
  <c r="H57" i="15" s="1"/>
  <c r="G35" i="15"/>
  <c r="H35" i="15" s="1"/>
  <c r="G15" i="15"/>
  <c r="H15" i="15" s="1"/>
  <c r="N15" i="15" s="1"/>
  <c r="G68" i="15"/>
  <c r="H68" i="15" s="1"/>
  <c r="G42" i="15"/>
  <c r="H42" i="15" s="1"/>
  <c r="G62" i="15"/>
  <c r="H62" i="15" s="1"/>
  <c r="G58" i="15"/>
  <c r="H58" i="15" s="1"/>
  <c r="G27" i="15"/>
  <c r="H27" i="15" s="1"/>
  <c r="G47" i="15"/>
  <c r="H47" i="15" s="1"/>
  <c r="G59" i="15"/>
  <c r="H59" i="15" s="1"/>
  <c r="G51" i="15"/>
  <c r="H51" i="15" s="1"/>
  <c r="N51" i="15" s="1"/>
  <c r="G60" i="15"/>
  <c r="H60" i="15" s="1"/>
  <c r="G36" i="15"/>
  <c r="H36" i="15" s="1"/>
  <c r="G80" i="15"/>
  <c r="H80" i="15" s="1"/>
  <c r="G64" i="15"/>
  <c r="H64" i="15" s="1"/>
  <c r="G81" i="15"/>
  <c r="H81" i="15" s="1"/>
  <c r="G69" i="15"/>
  <c r="H69" i="15" s="1"/>
  <c r="G5" i="15"/>
  <c r="H5" i="15" s="1"/>
  <c r="G52" i="15"/>
  <c r="H52" i="15" s="1"/>
  <c r="N52" i="15" s="1"/>
  <c r="G70" i="15"/>
  <c r="H70" i="15" s="1"/>
  <c r="G37" i="15"/>
  <c r="H37" i="15" s="1"/>
  <c r="G40" i="15"/>
  <c r="H40" i="15" s="1"/>
  <c r="G28" i="15"/>
  <c r="H28" i="15" s="1"/>
  <c r="G65" i="15"/>
  <c r="H65" i="15" s="1"/>
  <c r="G17" i="15"/>
  <c r="H17" i="15" s="1"/>
  <c r="G3" i="15"/>
  <c r="H3" i="15" s="1"/>
  <c r="G16" i="15"/>
  <c r="H16" i="15" s="1"/>
  <c r="N16" i="15" s="1"/>
  <c r="G82" i="15"/>
  <c r="H82" i="15" s="1"/>
  <c r="G71" i="15"/>
  <c r="H71" i="15" s="1"/>
  <c r="G38" i="15"/>
  <c r="H38" i="15" s="1"/>
  <c r="G29" i="15"/>
  <c r="H29" i="15" s="1"/>
  <c r="G18" i="15"/>
  <c r="H18" i="15" s="1"/>
  <c r="G30" i="15"/>
  <c r="H30" i="15" s="1"/>
  <c r="G48" i="15"/>
  <c r="H48" i="15" s="1"/>
  <c r="G39" i="15"/>
  <c r="H39" i="15" s="1"/>
  <c r="N39" i="15" s="1"/>
  <c r="G73" i="15"/>
  <c r="H73" i="15" s="1"/>
  <c r="G10" i="15"/>
  <c r="H10" i="15" s="1"/>
  <c r="G31" i="15"/>
  <c r="H31" i="15" s="1"/>
  <c r="G6" i="15"/>
  <c r="H6" i="15" s="1"/>
  <c r="G19" i="15"/>
  <c r="H19" i="15" s="1"/>
  <c r="G8" i="15"/>
  <c r="H8" i="15" s="1"/>
  <c r="G74" i="15"/>
  <c r="H74" i="15" s="1"/>
  <c r="G22" i="15"/>
  <c r="H22" i="15" s="1"/>
  <c r="N22" i="15" s="1"/>
  <c r="G23" i="15"/>
  <c r="H23" i="15" s="1"/>
  <c r="G75" i="15"/>
  <c r="H75" i="15" s="1"/>
  <c r="G76" i="15"/>
  <c r="H76" i="15" s="1"/>
  <c r="G83" i="15"/>
  <c r="H83" i="15" s="1"/>
  <c r="G32" i="15"/>
  <c r="H32" i="15" s="1"/>
  <c r="G33" i="15"/>
  <c r="H33" i="15" s="1"/>
  <c r="G77" i="15"/>
  <c r="H77" i="15" s="1"/>
  <c r="G4" i="15"/>
  <c r="H4" i="15" s="1"/>
  <c r="N4" i="15" s="1"/>
  <c r="G53" i="15"/>
  <c r="H53" i="15" s="1"/>
  <c r="G24" i="15"/>
  <c r="H24" i="15" s="1"/>
  <c r="G9" i="15"/>
  <c r="H9" i="15" s="1"/>
  <c r="G43" i="15"/>
  <c r="H43" i="15" s="1"/>
  <c r="G50" i="15"/>
  <c r="H50" i="15" s="1"/>
  <c r="G49" i="15"/>
  <c r="H49" i="15" s="1"/>
  <c r="G84" i="15"/>
  <c r="H84" i="15" s="1"/>
  <c r="G54" i="15"/>
  <c r="H54" i="15" s="1"/>
  <c r="N54" i="15" s="1"/>
  <c r="G12" i="15"/>
  <c r="H12" i="15" s="1"/>
  <c r="G13" i="15"/>
  <c r="H13" i="15" s="1"/>
  <c r="G61" i="15"/>
  <c r="H61" i="15" s="1"/>
  <c r="G78" i="15"/>
  <c r="H78" i="15" s="1"/>
  <c r="G25" i="15"/>
  <c r="H25" i="15" s="1"/>
  <c r="G55" i="15"/>
  <c r="H55" i="15" s="1"/>
  <c r="G7" i="15"/>
  <c r="H7" i="15" s="1"/>
  <c r="G20" i="15"/>
  <c r="H20" i="15" s="1"/>
  <c r="N20" i="15" s="1"/>
  <c r="G45" i="15"/>
  <c r="H45" i="15" s="1"/>
  <c r="G56" i="15"/>
  <c r="H56" i="15" s="1"/>
  <c r="G11" i="15"/>
  <c r="H11" i="15" s="1"/>
  <c r="A1" i="15"/>
  <c r="K1" i="15"/>
  <c r="I1" i="15"/>
  <c r="B35" i="12"/>
  <c r="H1" i="15" l="1"/>
  <c r="G1" i="15"/>
  <c r="N14" i="15"/>
  <c r="O14" i="15" s="1"/>
  <c r="P14" i="15" s="1"/>
  <c r="N44" i="15"/>
  <c r="O44" i="15" s="1"/>
  <c r="P44" i="15" s="1"/>
  <c r="O21" i="15"/>
  <c r="P21" i="15" s="1"/>
  <c r="N72" i="15"/>
  <c r="O72" i="15" s="1"/>
  <c r="P72" i="15" s="1"/>
  <c r="O79" i="15"/>
  <c r="P79" i="15" s="1"/>
  <c r="O20" i="15"/>
  <c r="P20" i="15" s="1"/>
  <c r="O54" i="15"/>
  <c r="P54" i="15" s="1"/>
  <c r="O4" i="15"/>
  <c r="P4" i="15" s="1"/>
  <c r="O22" i="15"/>
  <c r="P22" i="15" s="1"/>
  <c r="O39" i="15"/>
  <c r="P39" i="15" s="1"/>
  <c r="O16" i="15"/>
  <c r="P16" i="15" s="1"/>
  <c r="O52" i="15"/>
  <c r="P52" i="15" s="1"/>
  <c r="O51" i="15"/>
  <c r="P51" i="15" s="1"/>
  <c r="O15" i="15"/>
  <c r="P15" i="15" s="1"/>
  <c r="O41" i="15"/>
  <c r="P41" i="15" s="1"/>
  <c r="N10" i="15"/>
  <c r="O10" i="15" s="1"/>
  <c r="P10" i="15" s="1"/>
  <c r="N67" i="15"/>
  <c r="O67" i="15" s="1"/>
  <c r="P67" i="15" s="1"/>
  <c r="N45" i="15"/>
  <c r="O45" i="15" s="1"/>
  <c r="P45" i="15" s="1"/>
  <c r="N12" i="15"/>
  <c r="O12" i="15" s="1"/>
  <c r="P12" i="15" s="1"/>
  <c r="N53" i="15"/>
  <c r="O53" i="15" s="1"/>
  <c r="P53" i="15" s="1"/>
  <c r="N23" i="15"/>
  <c r="O23" i="15" s="1"/>
  <c r="P23" i="15" s="1"/>
  <c r="N73" i="15"/>
  <c r="O73" i="15" s="1"/>
  <c r="P73" i="15" s="1"/>
  <c r="N82" i="15"/>
  <c r="O82" i="15" s="1"/>
  <c r="P82" i="15" s="1"/>
  <c r="N70" i="15"/>
  <c r="O70" i="15" s="1"/>
  <c r="P70" i="15" s="1"/>
  <c r="N60" i="15"/>
  <c r="O60" i="15" s="1"/>
  <c r="P60" i="15" s="1"/>
  <c r="N68" i="15"/>
  <c r="O68" i="15" s="1"/>
  <c r="P68" i="15" s="1"/>
  <c r="N46" i="15"/>
  <c r="O46" i="15" s="1"/>
  <c r="P46" i="15" s="1"/>
  <c r="N13" i="15"/>
  <c r="O13" i="15" s="1"/>
  <c r="P13" i="15" s="1"/>
  <c r="N42" i="15"/>
  <c r="O42" i="15" s="1"/>
  <c r="P42" i="15" s="1"/>
  <c r="N84" i="15"/>
  <c r="O84" i="15" s="1"/>
  <c r="P84" i="15" s="1"/>
  <c r="N48" i="15"/>
  <c r="O48" i="15" s="1"/>
  <c r="P48" i="15" s="1"/>
  <c r="N3" i="15"/>
  <c r="N5" i="15"/>
  <c r="O5" i="15" s="1"/>
  <c r="P5" i="15" s="1"/>
  <c r="N59" i="15"/>
  <c r="O59" i="15" s="1"/>
  <c r="P59" i="15" s="1"/>
  <c r="N35" i="15"/>
  <c r="O35" i="15" s="1"/>
  <c r="P35" i="15" s="1"/>
  <c r="N34" i="15"/>
  <c r="O34" i="15" s="1"/>
  <c r="P34" i="15" s="1"/>
  <c r="N56" i="15"/>
  <c r="O56" i="15" s="1"/>
  <c r="P56" i="15" s="1"/>
  <c r="N71" i="15"/>
  <c r="O71" i="15" s="1"/>
  <c r="P71" i="15" s="1"/>
  <c r="N7" i="15"/>
  <c r="O7" i="15" s="1"/>
  <c r="P7" i="15" s="1"/>
  <c r="N77" i="15"/>
  <c r="O77" i="15" s="1"/>
  <c r="P77" i="15" s="1"/>
  <c r="N74" i="15"/>
  <c r="O74" i="15" s="1"/>
  <c r="P74" i="15" s="1"/>
  <c r="N55" i="15"/>
  <c r="O55" i="15" s="1"/>
  <c r="P55" i="15" s="1"/>
  <c r="N49" i="15"/>
  <c r="O49" i="15" s="1"/>
  <c r="P49" i="15" s="1"/>
  <c r="N33" i="15"/>
  <c r="O33" i="15" s="1"/>
  <c r="P33" i="15" s="1"/>
  <c r="N8" i="15"/>
  <c r="O8" i="15" s="1"/>
  <c r="P8" i="15" s="1"/>
  <c r="N30" i="15"/>
  <c r="O30" i="15" s="1"/>
  <c r="P30" i="15" s="1"/>
  <c r="N17" i="15"/>
  <c r="O17" i="15" s="1"/>
  <c r="P17" i="15" s="1"/>
  <c r="N69" i="15"/>
  <c r="O69" i="15" s="1"/>
  <c r="P69" i="15" s="1"/>
  <c r="N47" i="15"/>
  <c r="O47" i="15" s="1"/>
  <c r="P47" i="15" s="1"/>
  <c r="N57" i="15"/>
  <c r="O57" i="15" s="1"/>
  <c r="P57" i="15" s="1"/>
  <c r="N24" i="15"/>
  <c r="O24" i="15" s="1"/>
  <c r="P24" i="15" s="1"/>
  <c r="N36" i="15"/>
  <c r="O36" i="15" s="1"/>
  <c r="P36" i="15" s="1"/>
  <c r="N50" i="15"/>
  <c r="O50" i="15" s="1"/>
  <c r="P50" i="15" s="1"/>
  <c r="N19" i="15"/>
  <c r="O19" i="15" s="1"/>
  <c r="P19" i="15" s="1"/>
  <c r="N18" i="15"/>
  <c r="O18" i="15" s="1"/>
  <c r="P18" i="15" s="1"/>
  <c r="N65" i="15"/>
  <c r="O65" i="15" s="1"/>
  <c r="P65" i="15" s="1"/>
  <c r="N81" i="15"/>
  <c r="O81" i="15" s="1"/>
  <c r="P81" i="15" s="1"/>
  <c r="N27" i="15"/>
  <c r="O27" i="15" s="1"/>
  <c r="P27" i="15" s="1"/>
  <c r="N66" i="15"/>
  <c r="O66" i="15" s="1"/>
  <c r="P66" i="15" s="1"/>
  <c r="N37" i="15"/>
  <c r="O37" i="15" s="1"/>
  <c r="P37" i="15" s="1"/>
  <c r="N25" i="15"/>
  <c r="O25" i="15" s="1"/>
  <c r="P25" i="15" s="1"/>
  <c r="N26" i="15"/>
  <c r="O26" i="15" s="1"/>
  <c r="P26" i="15" s="1"/>
  <c r="N43" i="15"/>
  <c r="O43" i="15" s="1"/>
  <c r="P43" i="15" s="1"/>
  <c r="N83" i="15"/>
  <c r="O83" i="15" s="1"/>
  <c r="P83" i="15" s="1"/>
  <c r="N29" i="15"/>
  <c r="O29" i="15" s="1"/>
  <c r="P29" i="15" s="1"/>
  <c r="N28" i="15"/>
  <c r="O28" i="15" s="1"/>
  <c r="P28" i="15" s="1"/>
  <c r="N64" i="15"/>
  <c r="O64" i="15" s="1"/>
  <c r="P64" i="15" s="1"/>
  <c r="N58" i="15"/>
  <c r="O58" i="15" s="1"/>
  <c r="P58" i="15" s="1"/>
  <c r="N75" i="15"/>
  <c r="O75" i="15" s="1"/>
  <c r="P75" i="15" s="1"/>
  <c r="N32" i="15"/>
  <c r="O32" i="15" s="1"/>
  <c r="P32" i="15" s="1"/>
  <c r="N78" i="15"/>
  <c r="O78" i="15" s="1"/>
  <c r="P78" i="15" s="1"/>
  <c r="N6" i="15"/>
  <c r="O6" i="15" s="1"/>
  <c r="P6" i="15" s="1"/>
  <c r="N11" i="15"/>
  <c r="O11" i="15" s="1"/>
  <c r="P11" i="15" s="1"/>
  <c r="N61" i="15"/>
  <c r="O61" i="15" s="1"/>
  <c r="P61" i="15" s="1"/>
  <c r="N9" i="15"/>
  <c r="O9" i="15" s="1"/>
  <c r="P9" i="15" s="1"/>
  <c r="N76" i="15"/>
  <c r="O76" i="15" s="1"/>
  <c r="P76" i="15" s="1"/>
  <c r="N31" i="15"/>
  <c r="O31" i="15" s="1"/>
  <c r="P31" i="15" s="1"/>
  <c r="N38" i="15"/>
  <c r="O38" i="15" s="1"/>
  <c r="P38" i="15" s="1"/>
  <c r="N40" i="15"/>
  <c r="O40" i="15" s="1"/>
  <c r="P40" i="15" s="1"/>
  <c r="N80" i="15"/>
  <c r="O80" i="15" s="1"/>
  <c r="P80" i="15" s="1"/>
  <c r="N62" i="15"/>
  <c r="O62" i="15" s="1"/>
  <c r="P62" i="15" s="1"/>
  <c r="N63" i="15"/>
  <c r="O63" i="15" s="1"/>
  <c r="P63" i="15" s="1"/>
  <c r="O3" i="15" l="1"/>
  <c r="P3" i="15" s="1"/>
  <c r="N1" i="15"/>
  <c r="A7" i="7"/>
  <c r="A8" i="7"/>
  <c r="C7" i="7"/>
  <c r="C8" i="7"/>
  <c r="G7" i="7"/>
  <c r="G8" i="7"/>
  <c r="N7" i="7"/>
  <c r="D14" i="15" s="1"/>
  <c r="N8" i="7"/>
  <c r="D44" i="15" s="1"/>
  <c r="L7" i="13"/>
  <c r="K7" i="13"/>
  <c r="M2" i="13"/>
  <c r="M3" i="13"/>
  <c r="G68" i="7"/>
  <c r="G66" i="7"/>
  <c r="C68" i="7"/>
  <c r="C66" i="7"/>
  <c r="A59" i="7"/>
  <c r="A79" i="7"/>
  <c r="A80" i="7"/>
  <c r="A66" i="7"/>
  <c r="A68" i="7"/>
  <c r="C59" i="7"/>
  <c r="C79" i="7"/>
  <c r="C80" i="7"/>
  <c r="G59" i="7"/>
  <c r="G79" i="7"/>
  <c r="G80" i="7"/>
  <c r="N59" i="7"/>
  <c r="D29" i="15" s="1"/>
  <c r="N79" i="7"/>
  <c r="D75" i="15" s="1"/>
  <c r="N80" i="7"/>
  <c r="D76" i="15" s="1"/>
  <c r="N66" i="7"/>
  <c r="D21" i="15" s="1"/>
  <c r="N68" i="7"/>
  <c r="D72" i="15" s="1"/>
  <c r="A13" i="7"/>
  <c r="A29" i="7"/>
  <c r="A31" i="7"/>
  <c r="A44" i="7"/>
  <c r="C13" i="7"/>
  <c r="C29" i="7"/>
  <c r="C31" i="7"/>
  <c r="C44" i="7"/>
  <c r="G13" i="7"/>
  <c r="G29" i="7"/>
  <c r="G31" i="7"/>
  <c r="G44" i="7"/>
  <c r="N13" i="7"/>
  <c r="D34" i="15" s="1"/>
  <c r="N29" i="7"/>
  <c r="D58" i="15" s="1"/>
  <c r="N31" i="7"/>
  <c r="D27" i="15" s="1"/>
  <c r="N44" i="7"/>
  <c r="D70" i="15" s="1"/>
  <c r="O1" i="15" l="1"/>
  <c r="A42" i="7"/>
  <c r="A57" i="7"/>
  <c r="A98" i="7"/>
  <c r="A106" i="7"/>
  <c r="C42" i="7"/>
  <c r="C57" i="7"/>
  <c r="C98" i="7"/>
  <c r="C106" i="7"/>
  <c r="G42" i="7"/>
  <c r="G57" i="7"/>
  <c r="G98" i="7"/>
  <c r="G106" i="7"/>
  <c r="N42" i="7"/>
  <c r="N57" i="7"/>
  <c r="D71" i="15" s="1"/>
  <c r="N98" i="7"/>
  <c r="D78" i="15" s="1"/>
  <c r="N106" i="7"/>
  <c r="D45" i="15" s="1"/>
  <c r="N6" i="7" l="1"/>
  <c r="F107" i="7"/>
  <c r="F105" i="7"/>
  <c r="F102" i="7"/>
  <c r="F101" i="7"/>
  <c r="F104" i="7"/>
  <c r="F103" i="7"/>
  <c r="F100" i="7"/>
  <c r="F99" i="7"/>
  <c r="F97" i="7"/>
  <c r="F96" i="7"/>
  <c r="F95" i="7"/>
  <c r="F94" i="7"/>
  <c r="F93" i="7"/>
  <c r="F90" i="7"/>
  <c r="F92" i="7"/>
  <c r="F91" i="7"/>
  <c r="F89" i="7"/>
  <c r="F88" i="7"/>
  <c r="F87" i="7"/>
  <c r="F86" i="7"/>
  <c r="F85" i="7"/>
  <c r="F84" i="7"/>
  <c r="F83" i="7"/>
  <c r="F82" i="7"/>
  <c r="F81" i="7"/>
  <c r="F78" i="7"/>
  <c r="F77" i="7"/>
  <c r="F76" i="7"/>
  <c r="F75" i="7"/>
  <c r="F74" i="7"/>
  <c r="F73" i="7"/>
  <c r="F72" i="7"/>
  <c r="F71" i="7"/>
  <c r="F70" i="7"/>
  <c r="F67" i="7"/>
  <c r="F69" i="7"/>
  <c r="F65" i="7"/>
  <c r="F64" i="7"/>
  <c r="F63" i="7"/>
  <c r="F62" i="7"/>
  <c r="F61" i="7"/>
  <c r="F60" i="7"/>
  <c r="F58" i="7"/>
  <c r="F56" i="7"/>
  <c r="F55" i="7"/>
  <c r="F54" i="7"/>
  <c r="F53" i="7"/>
  <c r="F52" i="7"/>
  <c r="F51" i="7"/>
  <c r="F50" i="7"/>
  <c r="F49" i="7"/>
  <c r="F48" i="7"/>
  <c r="F47" i="7"/>
  <c r="F46" i="7"/>
  <c r="F45" i="7"/>
  <c r="F43" i="7"/>
  <c r="F41" i="7"/>
  <c r="F40" i="7"/>
  <c r="F39" i="7"/>
  <c r="F38" i="7"/>
  <c r="F37" i="7"/>
  <c r="F36" i="7"/>
  <c r="F35" i="7"/>
  <c r="F34" i="7"/>
  <c r="F33" i="7"/>
  <c r="F32" i="7"/>
  <c r="F30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2" i="7"/>
  <c r="F11" i="7"/>
  <c r="F10" i="7"/>
  <c r="F9" i="7"/>
  <c r="N64" i="7"/>
  <c r="D48" i="15" s="1"/>
  <c r="C64" i="7"/>
  <c r="A64" i="7"/>
  <c r="C6" i="7"/>
  <c r="C9" i="7"/>
  <c r="C10" i="7"/>
  <c r="C11" i="7"/>
  <c r="C12" i="7"/>
  <c r="C14" i="7"/>
  <c r="C15" i="7"/>
  <c r="C16" i="7"/>
  <c r="C18" i="7"/>
  <c r="C20" i="7"/>
  <c r="C21" i="7"/>
  <c r="C22" i="7"/>
  <c r="C23" i="7"/>
  <c r="C24" i="7"/>
  <c r="C25" i="7"/>
  <c r="C26" i="7"/>
  <c r="C27" i="7"/>
  <c r="C28" i="7"/>
  <c r="C30" i="7"/>
  <c r="C32" i="7"/>
  <c r="C33" i="7"/>
  <c r="C35" i="7"/>
  <c r="C36" i="7"/>
  <c r="C37" i="7"/>
  <c r="C38" i="7"/>
  <c r="C40" i="7"/>
  <c r="C41" i="7"/>
  <c r="C43" i="7"/>
  <c r="C45" i="7"/>
  <c r="C46" i="7"/>
  <c r="C47" i="7"/>
  <c r="C48" i="7"/>
  <c r="C49" i="7"/>
  <c r="C50" i="7"/>
  <c r="C51" i="7"/>
  <c r="C52" i="7"/>
  <c r="C53" i="7"/>
  <c r="C54" i="7"/>
  <c r="C55" i="7"/>
  <c r="C56" i="7"/>
  <c r="C58" i="7"/>
  <c r="C60" i="7"/>
  <c r="C61" i="7"/>
  <c r="C62" i="7"/>
  <c r="C63" i="7"/>
  <c r="C65" i="7"/>
  <c r="C69" i="7"/>
  <c r="C67" i="7"/>
  <c r="C70" i="7"/>
  <c r="C71" i="7"/>
  <c r="C72" i="7"/>
  <c r="C74" i="7"/>
  <c r="C75" i="7"/>
  <c r="C76" i="7"/>
  <c r="C77" i="7"/>
  <c r="C78" i="7"/>
  <c r="C81" i="7"/>
  <c r="C82" i="7"/>
  <c r="C83" i="7"/>
  <c r="C84" i="7"/>
  <c r="C85" i="7"/>
  <c r="C86" i="7"/>
  <c r="C87" i="7"/>
  <c r="C88" i="7"/>
  <c r="C89" i="7"/>
  <c r="C91" i="7"/>
  <c r="C92" i="7"/>
  <c r="C90" i="7"/>
  <c r="C93" i="7"/>
  <c r="C94" i="7"/>
  <c r="C95" i="7"/>
  <c r="C96" i="7"/>
  <c r="C97" i="7"/>
  <c r="C99" i="7"/>
  <c r="C100" i="7"/>
  <c r="C103" i="7"/>
  <c r="C104" i="7"/>
  <c r="C101" i="7"/>
  <c r="C102" i="7"/>
  <c r="C73" i="7"/>
  <c r="C34" i="7"/>
  <c r="C39" i="7"/>
  <c r="C19" i="7"/>
  <c r="C17" i="7"/>
  <c r="C105" i="7"/>
  <c r="C107" i="7"/>
  <c r="C108" i="7"/>
  <c r="A34" i="7"/>
  <c r="N34" i="7"/>
  <c r="D51" i="15" s="1"/>
  <c r="A73" i="7"/>
  <c r="A39" i="7"/>
  <c r="N73" i="7"/>
  <c r="D19" i="15" s="1"/>
  <c r="N39" i="7"/>
  <c r="D81" i="15" s="1"/>
  <c r="A19" i="7"/>
  <c r="N19" i="7"/>
  <c r="D79" i="15" s="1"/>
  <c r="A17" i="7"/>
  <c r="N17" i="7"/>
  <c r="D63" i="15" s="1"/>
  <c r="F6" i="7"/>
  <c r="G17" i="7" l="1"/>
  <c r="G73" i="7"/>
  <c r="G64" i="7"/>
  <c r="G39" i="7"/>
  <c r="G19" i="7"/>
  <c r="G34" i="7"/>
  <c r="A88" i="7"/>
  <c r="A87" i="7"/>
  <c r="A108" i="7"/>
  <c r="A107" i="7"/>
  <c r="A105" i="7"/>
  <c r="A102" i="7"/>
  <c r="A101" i="7"/>
  <c r="A104" i="7"/>
  <c r="A103" i="7"/>
  <c r="A100" i="7"/>
  <c r="A99" i="7"/>
  <c r="A97" i="7"/>
  <c r="A96" i="7"/>
  <c r="A95" i="7"/>
  <c r="A94" i="7"/>
  <c r="A93" i="7"/>
  <c r="A90" i="7"/>
  <c r="A92" i="7"/>
  <c r="A91" i="7"/>
  <c r="A89" i="7"/>
  <c r="A86" i="7"/>
  <c r="A85" i="7"/>
  <c r="A84" i="7"/>
  <c r="A83" i="7"/>
  <c r="A82" i="7"/>
  <c r="A81" i="7"/>
  <c r="A78" i="7"/>
  <c r="A77" i="7"/>
  <c r="A76" i="7"/>
  <c r="A75" i="7"/>
  <c r="A74" i="7"/>
  <c r="A72" i="7"/>
  <c r="A71" i="7"/>
  <c r="A70" i="7"/>
  <c r="A67" i="7"/>
  <c r="A69" i="7"/>
  <c r="A65" i="7"/>
  <c r="A63" i="7"/>
  <c r="A62" i="7"/>
  <c r="A61" i="7"/>
  <c r="A60" i="7"/>
  <c r="A58" i="7"/>
  <c r="A56" i="7"/>
  <c r="A55" i="7"/>
  <c r="A54" i="7"/>
  <c r="A53" i="7"/>
  <c r="A52" i="7"/>
  <c r="A51" i="7"/>
  <c r="A50" i="7"/>
  <c r="A49" i="7"/>
  <c r="A48" i="7"/>
  <c r="A47" i="7"/>
  <c r="A46" i="7"/>
  <c r="A45" i="7"/>
  <c r="A43" i="7"/>
  <c r="A41" i="7"/>
  <c r="A40" i="7"/>
  <c r="A38" i="7"/>
  <c r="A37" i="7"/>
  <c r="A36" i="7"/>
  <c r="A35" i="7"/>
  <c r="A33" i="7"/>
  <c r="A32" i="7"/>
  <c r="A30" i="7"/>
  <c r="A28" i="7"/>
  <c r="A27" i="7"/>
  <c r="A26" i="7"/>
  <c r="A25" i="7"/>
  <c r="A24" i="7"/>
  <c r="A23" i="7"/>
  <c r="A22" i="7"/>
  <c r="A21" i="7"/>
  <c r="A20" i="7"/>
  <c r="A18" i="7"/>
  <c r="A16" i="7"/>
  <c r="A15" i="7"/>
  <c r="A14" i="7"/>
  <c r="A12" i="7"/>
  <c r="A11" i="7"/>
  <c r="A10" i="7"/>
  <c r="A9" i="7"/>
  <c r="A6" i="7"/>
  <c r="N4" i="7" l="1" a="1"/>
  <c r="N4" i="7" s="1"/>
  <c r="N108" i="7"/>
  <c r="D11" i="15" s="1"/>
  <c r="N107" i="7"/>
  <c r="D56" i="15" s="1"/>
  <c r="N105" i="7"/>
  <c r="D20" i="15" s="1"/>
  <c r="N102" i="7"/>
  <c r="N101" i="7"/>
  <c r="N104" i="7"/>
  <c r="N103" i="7"/>
  <c r="D7" i="15" s="1"/>
  <c r="N100" i="7"/>
  <c r="D55" i="15" s="1"/>
  <c r="N99" i="7"/>
  <c r="D25" i="15" s="1"/>
  <c r="N97" i="7"/>
  <c r="D61" i="15" s="1"/>
  <c r="N96" i="7"/>
  <c r="D13" i="15" s="1"/>
  <c r="N95" i="7"/>
  <c r="D12" i="15" s="1"/>
  <c r="N94" i="7"/>
  <c r="D54" i="15" s="1"/>
  <c r="N93" i="7"/>
  <c r="D84" i="15" s="1"/>
  <c r="N90" i="7"/>
  <c r="N92" i="7"/>
  <c r="D49" i="15" s="1"/>
  <c r="N91" i="7"/>
  <c r="D50" i="15" s="1"/>
  <c r="N89" i="7"/>
  <c r="D43" i="15" s="1"/>
  <c r="N88" i="7"/>
  <c r="D9" i="15" s="1"/>
  <c r="N87" i="7"/>
  <c r="D24" i="15" s="1"/>
  <c r="N86" i="7"/>
  <c r="D53" i="15" s="1"/>
  <c r="N85" i="7"/>
  <c r="D4" i="15" s="1"/>
  <c r="N84" i="7"/>
  <c r="D77" i="15" s="1"/>
  <c r="N83" i="7"/>
  <c r="D33" i="15" s="1"/>
  <c r="N82" i="7"/>
  <c r="D32" i="15" s="1"/>
  <c r="N81" i="7"/>
  <c r="D83" i="15" s="1"/>
  <c r="N78" i="7"/>
  <c r="N77" i="7"/>
  <c r="D23" i="15" s="1"/>
  <c r="N76" i="7"/>
  <c r="D22" i="15" s="1"/>
  <c r="N75" i="7"/>
  <c r="D74" i="15" s="1"/>
  <c r="N74" i="7"/>
  <c r="D8" i="15" s="1"/>
  <c r="N72" i="7"/>
  <c r="D6" i="15" s="1"/>
  <c r="N71" i="7"/>
  <c r="D31" i="15" s="1"/>
  <c r="N70" i="7"/>
  <c r="D10" i="15" s="1"/>
  <c r="N67" i="7"/>
  <c r="N69" i="7"/>
  <c r="D73" i="15" s="1"/>
  <c r="N65" i="7"/>
  <c r="D39" i="15" s="1"/>
  <c r="N63" i="7"/>
  <c r="N62" i="7"/>
  <c r="D30" i="15" s="1"/>
  <c r="N61" i="7"/>
  <c r="D18" i="15" s="1"/>
  <c r="N60" i="7"/>
  <c r="N58" i="7"/>
  <c r="D38" i="15" s="1"/>
  <c r="N56" i="7"/>
  <c r="N55" i="7"/>
  <c r="D82" i="15" s="1"/>
  <c r="N54" i="7"/>
  <c r="D16" i="15" s="1"/>
  <c r="N53" i="7"/>
  <c r="D3" i="15" s="1"/>
  <c r="N52" i="7"/>
  <c r="D17" i="15" s="1"/>
  <c r="N51" i="7"/>
  <c r="N50" i="7"/>
  <c r="N49" i="7"/>
  <c r="D65" i="15" s="1"/>
  <c r="N48" i="7"/>
  <c r="D28" i="15" s="1"/>
  <c r="N47" i="7"/>
  <c r="D40" i="15" s="1"/>
  <c r="N46" i="7"/>
  <c r="D37" i="15" s="1"/>
  <c r="N45" i="7"/>
  <c r="N43" i="7"/>
  <c r="D52" i="15" s="1"/>
  <c r="N41" i="7"/>
  <c r="D5" i="15" s="1"/>
  <c r="N40" i="7"/>
  <c r="D69" i="15" s="1"/>
  <c r="N38" i="7"/>
  <c r="D64" i="15" s="1"/>
  <c r="N37" i="7"/>
  <c r="D80" i="15" s="1"/>
  <c r="N36" i="7"/>
  <c r="D36" i="15" s="1"/>
  <c r="N35" i="7"/>
  <c r="D60" i="15" s="1"/>
  <c r="N33" i="7"/>
  <c r="D59" i="15" s="1"/>
  <c r="N32" i="7"/>
  <c r="D47" i="15" s="1"/>
  <c r="N30" i="7"/>
  <c r="N28" i="7"/>
  <c r="N27" i="7"/>
  <c r="D62" i="15" s="1"/>
  <c r="N26" i="7"/>
  <c r="D42" i="15" s="1"/>
  <c r="N25" i="7"/>
  <c r="D68" i="15" s="1"/>
  <c r="N24" i="7"/>
  <c r="D15" i="15" s="1"/>
  <c r="N23" i="7"/>
  <c r="D35" i="15" s="1"/>
  <c r="N22" i="7"/>
  <c r="D57" i="15" s="1"/>
  <c r="N21" i="7"/>
  <c r="D66" i="15" s="1"/>
  <c r="N20" i="7"/>
  <c r="N18" i="7"/>
  <c r="N16" i="7"/>
  <c r="D67" i="15" s="1"/>
  <c r="N15" i="7"/>
  <c r="D46" i="15" s="1"/>
  <c r="N14" i="7"/>
  <c r="D41" i="15" s="1"/>
  <c r="N12" i="7"/>
  <c r="D26" i="15" s="1"/>
  <c r="N11" i="7"/>
  <c r="N10" i="7"/>
  <c r="Q3" i="7" s="1" a="1"/>
  <c r="Q3" i="7" s="1"/>
  <c r="N9" i="7"/>
  <c r="G6" i="7"/>
  <c r="G9" i="7"/>
  <c r="G10" i="7"/>
  <c r="G11" i="7"/>
  <c r="G12" i="7"/>
  <c r="G14" i="7"/>
  <c r="G15" i="7"/>
  <c r="G16" i="7"/>
  <c r="G18" i="7"/>
  <c r="G20" i="7"/>
  <c r="G21" i="7"/>
  <c r="G22" i="7"/>
  <c r="G23" i="7"/>
  <c r="G24" i="7"/>
  <c r="G25" i="7"/>
  <c r="G26" i="7"/>
  <c r="G27" i="7"/>
  <c r="G28" i="7"/>
  <c r="G30" i="7"/>
  <c r="G32" i="7"/>
  <c r="G33" i="7"/>
  <c r="G35" i="7"/>
  <c r="G36" i="7"/>
  <c r="G37" i="7"/>
  <c r="G38" i="7"/>
  <c r="G40" i="7"/>
  <c r="G41" i="7"/>
  <c r="G43" i="7"/>
  <c r="G45" i="7"/>
  <c r="G46" i="7"/>
  <c r="G47" i="7"/>
  <c r="G48" i="7"/>
  <c r="G49" i="7"/>
  <c r="G50" i="7"/>
  <c r="G51" i="7"/>
  <c r="G52" i="7"/>
  <c r="G53" i="7"/>
  <c r="G54" i="7"/>
  <c r="G55" i="7"/>
  <c r="G56" i="7"/>
  <c r="G58" i="7"/>
  <c r="G60" i="7"/>
  <c r="G61" i="7"/>
  <c r="G62" i="7"/>
  <c r="G63" i="7"/>
  <c r="G65" i="7"/>
  <c r="G69" i="7"/>
  <c r="G67" i="7"/>
  <c r="G70" i="7"/>
  <c r="G71" i="7"/>
  <c r="G72" i="7"/>
  <c r="G74" i="7"/>
  <c r="G75" i="7"/>
  <c r="G76" i="7"/>
  <c r="G77" i="7"/>
  <c r="G78" i="7"/>
  <c r="G81" i="7"/>
  <c r="G82" i="7"/>
  <c r="G83" i="7"/>
  <c r="G84" i="7"/>
  <c r="G85" i="7"/>
  <c r="G86" i="7"/>
  <c r="G87" i="7"/>
  <c r="G88" i="7"/>
  <c r="G89" i="7"/>
  <c r="G91" i="7"/>
  <c r="G92" i="7"/>
  <c r="G90" i="7"/>
  <c r="G93" i="7"/>
  <c r="G94" i="7"/>
  <c r="G95" i="7"/>
  <c r="G96" i="7"/>
  <c r="G97" i="7"/>
  <c r="G99" i="7"/>
  <c r="G100" i="7"/>
  <c r="G103" i="7"/>
  <c r="G104" i="7"/>
  <c r="G101" i="7"/>
  <c r="G102" i="7"/>
  <c r="G105" i="7"/>
  <c r="G107" i="7"/>
  <c r="G108" i="7"/>
  <c r="K2" i="13" l="1"/>
  <c r="L2" i="13"/>
  <c r="L3" i="13"/>
  <c r="K3" i="13"/>
  <c r="I4" i="7" a="1"/>
  <c r="I4" i="7" s="1"/>
  <c r="J4" i="7" a="1"/>
  <c r="J4" i="7" s="1"/>
  <c r="K4" i="7" a="1"/>
  <c r="K4" i="7" s="1"/>
  <c r="L4" i="7" a="1"/>
  <c r="L4" i="7" s="1"/>
  <c r="P3" i="7" a="1"/>
  <c r="P3" i="7" s="1"/>
  <c r="B1" i="8"/>
  <c r="M4" i="7" l="1"/>
  <c r="N3" i="13"/>
  <c r="N2" i="13"/>
  <c r="F4" i="7"/>
  <c r="H2" i="7" s="1"/>
  <c r="B3" i="8"/>
  <c r="N4" i="13" l="1"/>
  <c r="P4" i="7"/>
  <c r="G4" i="7" s="1"/>
  <c r="Q4" i="7"/>
  <c r="H4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<sst xmlns="http://schemas.openxmlformats.org/spreadsheetml/2006/main" count="1403" uniqueCount="385">
  <si>
    <t>NOME</t>
  </si>
  <si>
    <t>FUNÇÃO</t>
  </si>
  <si>
    <t>ID FUNCIONÁRIO</t>
  </si>
  <si>
    <t>ADMISSÃO</t>
  </si>
  <si>
    <t>KERGINALDO VICTOR DA SILVA FILHO</t>
  </si>
  <si>
    <t>ASSISTENTE ADMINISTRATIVO</t>
  </si>
  <si>
    <t>ENCARREGADO CIVIL</t>
  </si>
  <si>
    <t>TOTAL EFETIVO</t>
  </si>
  <si>
    <t>MOI</t>
  </si>
  <si>
    <t>MOD</t>
  </si>
  <si>
    <t>GERENTE DE CONTRATOS</t>
  </si>
  <si>
    <t>DEMISSÃO</t>
  </si>
  <si>
    <t>PEDRO LUIZ LINS CARDOSO</t>
  </si>
  <si>
    <t>SITUAÇÃO</t>
  </si>
  <si>
    <t>ATIVO</t>
  </si>
  <si>
    <t>TOMADOR</t>
  </si>
  <si>
    <t>ATIVOS</t>
  </si>
  <si>
    <t>CONTADOR</t>
  </si>
  <si>
    <t>TIPO</t>
  </si>
  <si>
    <t>TOTAL:</t>
  </si>
  <si>
    <t>SETOR</t>
  </si>
  <si>
    <t>EMAIL</t>
  </si>
  <si>
    <t>SUPRIMENTOS</t>
  </si>
  <si>
    <t>ADMINISTRAÇÃO</t>
  </si>
  <si>
    <t>PLANEJAMENTO</t>
  </si>
  <si>
    <t>SMS</t>
  </si>
  <si>
    <t>GERÊNCIA</t>
  </si>
  <si>
    <t>COORDENADOR DE PLANEJAMENTO</t>
  </si>
  <si>
    <t>FÉRIAS</t>
  </si>
  <si>
    <t>AFASTADOS</t>
  </si>
  <si>
    <t>UTGC</t>
  </si>
  <si>
    <t>EDIVIT</t>
  </si>
  <si>
    <t>AIRYS DAVIDSON PEREIRA DOS SANTOS</t>
  </si>
  <si>
    <t>BRAYON LOPES DA SILVA</t>
  </si>
  <si>
    <t>DANIEL NUNES MOTA</t>
  </si>
  <si>
    <t>DIRCEU CARAPINA</t>
  </si>
  <si>
    <t>EDCASSIA RIBEIRO GOMES DUTRA</t>
  </si>
  <si>
    <t>ELISEU GOMES</t>
  </si>
  <si>
    <t>GEISON DE OLIVEIRA BEZERRA</t>
  </si>
  <si>
    <t>MAURICIO GUTEMBERG PINHEIRO GUERRA</t>
  </si>
  <si>
    <t>PABLO ALVES ZAMBI</t>
  </si>
  <si>
    <t>RAFAEL DOS SANTOS ARAUJO</t>
  </si>
  <si>
    <t>RAFAEL RIBEIRO DE CASTRO</t>
  </si>
  <si>
    <t>RODRIGO FERREIRA DOS SANTOS</t>
  </si>
  <si>
    <t>ROMERIO PEREIRA DA SILVA</t>
  </si>
  <si>
    <t>RUBENS FREITAS ALBUQUERQUE</t>
  </si>
  <si>
    <t>VALDELIO JOSE ALVES SILVA</t>
  </si>
  <si>
    <t>VINICIUS SYLVESTRE</t>
  </si>
  <si>
    <t>DIEKSON VALERIANO DOS REIS</t>
  </si>
  <si>
    <t>ESTHEVAN RIBEIRO FRANCA</t>
  </si>
  <si>
    <t>GILIS FLORO COSTA</t>
  </si>
  <si>
    <t>IVO SANTOS DE OLIVEIRA</t>
  </si>
  <si>
    <t>LUCAS RONIELE RIBEIRO MARCAL</t>
  </si>
  <si>
    <t>MARCIANO TITO DEUS</t>
  </si>
  <si>
    <t>MARCIO ROGERIO NUNES</t>
  </si>
  <si>
    <t>MATHEUS LUCAS RODRIGUES SILVA</t>
  </si>
  <si>
    <t>ONESSIMO AMORIM</t>
  </si>
  <si>
    <t>ROBERTO DE JESUS SANTOS</t>
  </si>
  <si>
    <t>RODRIGO COSTA DE JESUS</t>
  </si>
  <si>
    <t>RODRIGO DOS ANJOS RIBEIRO</t>
  </si>
  <si>
    <t>WANDERSON LEAO DA SILVA</t>
  </si>
  <si>
    <t>WDIEFERSON DE ARAUJO VIEIRA</t>
  </si>
  <si>
    <t>FELIPE SOARES CAMPOS</t>
  </si>
  <si>
    <t>GUSTAVO FRANCO DE SANTANA</t>
  </si>
  <si>
    <t>JALDES BARBOSA ANDRADE</t>
  </si>
  <si>
    <t>RENAN BARBOSA DOS SANTOS</t>
  </si>
  <si>
    <t>THIAGO FERREIRA DA COSTA</t>
  </si>
  <si>
    <t>TECNICO DE PLANEJAMENTO</t>
  </si>
  <si>
    <t>TECNICO SEGURANÇA DO TRABALHO</t>
  </si>
  <si>
    <t>COMPRADOR</t>
  </si>
  <si>
    <t>ENGENHEIRO PREPOSTO</t>
  </si>
  <si>
    <t>ENCARREGADO DE CALDERARIA</t>
  </si>
  <si>
    <t>COORDENADOR DE SMS</t>
  </si>
  <si>
    <t>ENGENHEIRO ORÇAMENTISTA</t>
  </si>
  <si>
    <t>ALMOXARIFE DE OBRAS</t>
  </si>
  <si>
    <t>ENGENHEIRO DE PLANEJAMENTO</t>
  </si>
  <si>
    <t>IARA MARIA TEIXEIRA</t>
  </si>
  <si>
    <t>VALDEMIR ALVES JARDIM</t>
  </si>
  <si>
    <t xml:space="preserve">YGOR GABRIEL DE SOUZA </t>
  </si>
  <si>
    <t>COORDENADOR ADMINISTRATIVO</t>
  </si>
  <si>
    <t>NASCIMENTO</t>
  </si>
  <si>
    <t>CPF</t>
  </si>
  <si>
    <t>83134131234</t>
  </si>
  <si>
    <t>12302409779</t>
  </si>
  <si>
    <t>18649093744</t>
  </si>
  <si>
    <t>00294927778</t>
  </si>
  <si>
    <t>16933421708</t>
  </si>
  <si>
    <t>60691271704</t>
  </si>
  <si>
    <t>11233941720</t>
  </si>
  <si>
    <t>22915462879</t>
  </si>
  <si>
    <t>14146630304</t>
  </si>
  <si>
    <t>12324992779</t>
  </si>
  <si>
    <t>14746652767</t>
  </si>
  <si>
    <t>13559825709</t>
  </si>
  <si>
    <t>12228525782</t>
  </si>
  <si>
    <t>12156658730</t>
  </si>
  <si>
    <t>07897903788</t>
  </si>
  <si>
    <t>14711283773</t>
  </si>
  <si>
    <t>11097712745</t>
  </si>
  <si>
    <t>81819730700</t>
  </si>
  <si>
    <t>45263596880</t>
  </si>
  <si>
    <t>15676856769</t>
  </si>
  <si>
    <t>01458902790</t>
  </si>
  <si>
    <t>05615478829</t>
  </si>
  <si>
    <t>12530818754</t>
  </si>
  <si>
    <t>14122874726</t>
  </si>
  <si>
    <t>10876017707</t>
  </si>
  <si>
    <t>08062957756</t>
  </si>
  <si>
    <t>16531102799</t>
  </si>
  <si>
    <t>12722813700</t>
  </si>
  <si>
    <t>00532941730</t>
  </si>
  <si>
    <t>18372606722</t>
  </si>
  <si>
    <t>02020903709</t>
  </si>
  <si>
    <t>13865539726</t>
  </si>
  <si>
    <t>05896901755</t>
  </si>
  <si>
    <t>14785121726</t>
  </si>
  <si>
    <t>06980498703</t>
  </si>
  <si>
    <t>14180772752</t>
  </si>
  <si>
    <t>15462152710</t>
  </si>
  <si>
    <t>07279290540</t>
  </si>
  <si>
    <t>14190410705</t>
  </si>
  <si>
    <t>11468201786</t>
  </si>
  <si>
    <t>19779783717</t>
  </si>
  <si>
    <t>MECANICO MONTADOR</t>
  </si>
  <si>
    <t>AJUDANTE DE OBRAS</t>
  </si>
  <si>
    <t>ELETRICISTA</t>
  </si>
  <si>
    <t>PEDREIRO</t>
  </si>
  <si>
    <t>CALDEIREIRO</t>
  </si>
  <si>
    <t>CALDEIREIRO ALPINISTA</t>
  </si>
  <si>
    <t>JOEL DANILO DANTAS SILVA</t>
  </si>
  <si>
    <t>JOBERT DA SILVA SAMPAIO</t>
  </si>
  <si>
    <t>JONATHAN LOPES DOS SANTOS</t>
  </si>
  <si>
    <t>MELVEN BILL DE SOUZA</t>
  </si>
  <si>
    <t>RAFAEL BARREIRA DA CONCEICAO</t>
  </si>
  <si>
    <t>ROMARIO DE SOUZA VIANA</t>
  </si>
  <si>
    <t>PINTOR INDUSTRIAL</t>
  </si>
  <si>
    <t>AGUINALDO KRULL CUSTÓDIO</t>
  </si>
  <si>
    <t>CARLOS DA CONCEIÇÃO DE SOUZA</t>
  </si>
  <si>
    <t>DEYVID ALAN OLIVEIRA MUNIZ</t>
  </si>
  <si>
    <t>PINTOR INDUSTRIAL ALPINISTA</t>
  </si>
  <si>
    <t>GEILSON CARLOS</t>
  </si>
  <si>
    <t>LUIZ CARLOS BARBOSA SOUZA</t>
  </si>
  <si>
    <t>MARCELO DOS SANTOS MATOS</t>
  </si>
  <si>
    <t>RULIANO DE SOUZA MOREIRA</t>
  </si>
  <si>
    <t>THIAGO FIORETE MOREIRA</t>
  </si>
  <si>
    <t>WENDELL DOS SANTOS CARLOS</t>
  </si>
  <si>
    <t>WILTON SOUZA</t>
  </si>
  <si>
    <t>WALLACE DOS SANTOS NASCIMENTO</t>
  </si>
  <si>
    <t>20295327707</t>
  </si>
  <si>
    <t>15262186742</t>
  </si>
  <si>
    <t>15021919709</t>
  </si>
  <si>
    <t>06745097575</t>
  </si>
  <si>
    <t>17660926756</t>
  </si>
  <si>
    <t>03758708575</t>
  </si>
  <si>
    <t>10202542700</t>
  </si>
  <si>
    <t>13817146760</t>
  </si>
  <si>
    <t>10709341784</t>
  </si>
  <si>
    <t>02359862596</t>
  </si>
  <si>
    <t>08257322717</t>
  </si>
  <si>
    <t>16102616740</t>
  </si>
  <si>
    <t>13960944748</t>
  </si>
  <si>
    <t>13643726732</t>
  </si>
  <si>
    <t>19264510745</t>
  </si>
  <si>
    <t>NOME COMPLETO</t>
  </si>
  <si>
    <t xml:space="preserve">THARES GEORGE PEREIRA OLIVEIRA </t>
  </si>
  <si>
    <t xml:space="preserve">CARLOS RODRIGO ALMEIDA </t>
  </si>
  <si>
    <t xml:space="preserve">LUCAS BRAGA DE OLIVEIRA </t>
  </si>
  <si>
    <t xml:space="preserve">SIZERNANDO SILVA SANTOS </t>
  </si>
  <si>
    <t xml:space="preserve">WEBERSON GONÇALVES VIEIRA </t>
  </si>
  <si>
    <t xml:space="preserve">REINALDO FERREIRA BATISTA </t>
  </si>
  <si>
    <t xml:space="preserve">ALBERTO COSTA DE JESUS </t>
  </si>
  <si>
    <t xml:space="preserve">FELIPE KAYAN FAUSTINO FERREIRA </t>
  </si>
  <si>
    <t xml:space="preserve">ADENILDO LARANJEIRA DOS SANTOS </t>
  </si>
  <si>
    <t>ANTONIO DOMINGOS DOS SANTOS JUNIOR</t>
  </si>
  <si>
    <t>VALDINEY GOMES MARIA DOS SANTOS</t>
  </si>
  <si>
    <t>15237930743</t>
  </si>
  <si>
    <t>15983816799</t>
  </si>
  <si>
    <t>13391533781</t>
  </si>
  <si>
    <t>09408065760</t>
  </si>
  <si>
    <t>07466197744</t>
  </si>
  <si>
    <t>08183114792</t>
  </si>
  <si>
    <t>13084625735</t>
  </si>
  <si>
    <t xml:space="preserve">FELIPE DE QUEIROZ SILVA </t>
  </si>
  <si>
    <t>AQUARIUS</t>
  </si>
  <si>
    <t>JONAS GOMES DOS SANTOS</t>
  </si>
  <si>
    <t>RIGGER</t>
  </si>
  <si>
    <t>JACKSON VIDEO GOMES</t>
  </si>
  <si>
    <t>MONTADOR DE ANDAIMES</t>
  </si>
  <si>
    <t>ENGEVAL</t>
  </si>
  <si>
    <t>ROMARIO OLIVEIRA ALVES</t>
  </si>
  <si>
    <t>ENCARREGADO DE ANDAIMES</t>
  </si>
  <si>
    <t>UANDERSON RAMOS SILVA</t>
  </si>
  <si>
    <t>EWERTON FLORO DOS SANTOS</t>
  </si>
  <si>
    <t>SOLDADOR</t>
  </si>
  <si>
    <t>ALISON PEREIRA BARBOSA</t>
  </si>
  <si>
    <t>HENRIQUE RIBEIRO NUNES BREMENKAMP</t>
  </si>
  <si>
    <t>MARCOS DA SILVA CARNEIRO</t>
  </si>
  <si>
    <t>LEANDRO OTONI DA SILVA</t>
  </si>
  <si>
    <t>LUCAS GOMES SANTANA</t>
  </si>
  <si>
    <t>DONIZETE DA CONCEIÇÃO SILVA</t>
  </si>
  <si>
    <t>EDUARDO ANDRADE CECILIO</t>
  </si>
  <si>
    <t xml:space="preserve">DANIEL DA CONCEIÇÃO FLORO JUNIOR </t>
  </si>
  <si>
    <t>ELIVALDO DE OLIVEIRA</t>
  </si>
  <si>
    <t>ENEAS SANTANA DA SILVA</t>
  </si>
  <si>
    <t>12342344759</t>
  </si>
  <si>
    <t>14888752788</t>
  </si>
  <si>
    <t>79132022549</t>
  </si>
  <si>
    <t>10404529739</t>
  </si>
  <si>
    <t>14883940756</t>
  </si>
  <si>
    <t>16206974758</t>
  </si>
  <si>
    <t>19153278739</t>
  </si>
  <si>
    <t>21728943701</t>
  </si>
  <si>
    <t>14267811725</t>
  </si>
  <si>
    <t>95248749700</t>
  </si>
  <si>
    <t>00156073560</t>
  </si>
  <si>
    <t>NOME COLABORADOR</t>
  </si>
  <si>
    <t>ACEITO (ASSINATURA)</t>
  </si>
  <si>
    <t>NÃO ACEITO (ASSINATURA)</t>
  </si>
  <si>
    <t>ACEITO 
(ASSINATURA)</t>
  </si>
  <si>
    <t>NÃO ACEITO 
(ASSINATURA)</t>
  </si>
  <si>
    <t xml:space="preserve">
COLABORADOR
NOME
</t>
  </si>
  <si>
    <t>SALARIO BASE</t>
  </si>
  <si>
    <t>DOUGLIAN MORAES TIMBUIBA</t>
  </si>
  <si>
    <t>15656507785</t>
  </si>
  <si>
    <t>WEMERSON MERCES DE OLVEIRA</t>
  </si>
  <si>
    <t>14291264771</t>
  </si>
  <si>
    <t>STENIO DE OLIVEIRA KIRMSE</t>
  </si>
  <si>
    <t>EMPRESA</t>
  </si>
  <si>
    <t>EDINALDO SILVA DOS ANJOS JUNIOR</t>
  </si>
  <si>
    <t>GERENTE DE CONTRATO</t>
  </si>
  <si>
    <t>COORDENADOR OPERACIONAL</t>
  </si>
  <si>
    <t>ASSISTENTE ADMINISTRATIVA</t>
  </si>
  <si>
    <t>TECNICO DE SUPRIMENTOS</t>
  </si>
  <si>
    <t>ENGENHEIRO ORCAMENTISTA</t>
  </si>
  <si>
    <t>geison.bezerra@apjpetro.com.br</t>
  </si>
  <si>
    <t>kerginaldo.victor@apjpetro.com.br</t>
  </si>
  <si>
    <t>wanderson.leao@apjpetro.com.br</t>
  </si>
  <si>
    <t>pablo.alves@apjpetro.com.br</t>
  </si>
  <si>
    <t>rubens.albuquerque@apjpetro.com.br</t>
  </si>
  <si>
    <t>brayon.silva@apjpetro.com.br</t>
  </si>
  <si>
    <t>edcassia.dutra@apjpetro.com.br</t>
  </si>
  <si>
    <t>eliseu.gomes@apjpetro.com.br</t>
  </si>
  <si>
    <t>pedro.luiz@apjpetro.com.br</t>
  </si>
  <si>
    <t>stenio.oliveira@apjpetro.com.br</t>
  </si>
  <si>
    <t>iara.teixeira@apjpetro.com.br</t>
  </si>
  <si>
    <t>rafael.santos@apjpetro.com.br</t>
  </si>
  <si>
    <t>rafael.castro@apjpetro.com.br</t>
  </si>
  <si>
    <t>rodrigo.santos@apjpetro.com.br</t>
  </si>
  <si>
    <t>romerio.silva@apjpetro.com.br</t>
  </si>
  <si>
    <t>vinicius.sylvestre@apjpetro.com.br</t>
  </si>
  <si>
    <t>YGOR GABRIEL DE SOUZA</t>
  </si>
  <si>
    <t>ygor.gabriel@apjpetro.com.br</t>
  </si>
  <si>
    <t>ALMOXARIFADO</t>
  </si>
  <si>
    <t>daniel.mota@apjpetro.com.br</t>
  </si>
  <si>
    <t>valdiney.santos@apjpetro.com.br</t>
  </si>
  <si>
    <t>SALÁRIO MÉDIO ATUAL</t>
  </si>
  <si>
    <t>MOD%</t>
  </si>
  <si>
    <t>MOI%</t>
  </si>
  <si>
    <t>TOTAL ADMISSÕES</t>
  </si>
  <si>
    <t>RESUMO - FUNÇÕES</t>
  </si>
  <si>
    <t>MONTADOR DE ANDIMES</t>
  </si>
  <si>
    <t>OPERADOR DE GUINDASTE</t>
  </si>
  <si>
    <t>OPERADOR DE MUNCK</t>
  </si>
  <si>
    <t>SUPERVISOR NIII</t>
  </si>
  <si>
    <t>SALÁRIO+PER</t>
  </si>
  <si>
    <t>SALÁRIO BASE</t>
  </si>
  <si>
    <t>INATIVOS</t>
  </si>
  <si>
    <t>CONTROLE DE ATIVOS E INATIVOS: ES|MG</t>
  </si>
  <si>
    <t>PABLO CORREIA COSME</t>
  </si>
  <si>
    <t>ELTON LEITE DE SOUZA</t>
  </si>
  <si>
    <t>GABRIEL DAS NEVES GOMES</t>
  </si>
  <si>
    <t>CRISPIM OLIVEIRA DOS SANTOS</t>
  </si>
  <si>
    <t>CARLOS EDUARDO BRAGA DA COSTA</t>
  </si>
  <si>
    <t>JOSE ALBERTO BARBOSA CASTRO</t>
  </si>
  <si>
    <t>LEANDRO CESAR GUIMARES</t>
  </si>
  <si>
    <t>19424149786</t>
  </si>
  <si>
    <t>02227458518</t>
  </si>
  <si>
    <t>18510528799</t>
  </si>
  <si>
    <t>09572615785</t>
  </si>
  <si>
    <t>13336993792</t>
  </si>
  <si>
    <t>SINDICATO</t>
  </si>
  <si>
    <t>MARCOS ARAUJO RIBEIRO</t>
  </si>
  <si>
    <t>15108218729</t>
  </si>
  <si>
    <t>ANDERSON ALLAN DE CARVALHO ARAUJO</t>
  </si>
  <si>
    <t>11036849732</t>
  </si>
  <si>
    <t>WAGNER NOGUEIRA DIVINO</t>
  </si>
  <si>
    <t>GABRIEL SILVA DE ALMEIDA</t>
  </si>
  <si>
    <t>17040087782</t>
  </si>
  <si>
    <t>OPERADOR MUCK</t>
  </si>
  <si>
    <t>09118973728</t>
  </si>
  <si>
    <t>13929352702</t>
  </si>
  <si>
    <t>10185591752</t>
  </si>
  <si>
    <t>SUB</t>
  </si>
  <si>
    <t>TOTAL</t>
  </si>
  <si>
    <t>GEORGE NUNES FALQUETO</t>
  </si>
  <si>
    <t>LUCAS GUILHERME TITO</t>
  </si>
  <si>
    <t>VINICIUS DOS SANTOS GUILHERME</t>
  </si>
  <si>
    <t>WESLEY VICENTE SANTANA</t>
  </si>
  <si>
    <t>10451490711</t>
  </si>
  <si>
    <t>17630864701</t>
  </si>
  <si>
    <t>13401703706</t>
  </si>
  <si>
    <t>14932209770</t>
  </si>
  <si>
    <t>marcos.ribeiro@apjpetro.com.br</t>
  </si>
  <si>
    <t>ISRAEL DOS SANTOS</t>
  </si>
  <si>
    <t>LUIZ CARLOS LOPES</t>
  </si>
  <si>
    <t>MARCIO AUGUSTO RAMOS GALDINO</t>
  </si>
  <si>
    <t>TORRES DO BRASIL</t>
  </si>
  <si>
    <t>ANGELO GABRIEL DE ALMEIDA SILVA</t>
  </si>
  <si>
    <t>EDNALDO SANTOS FLORES</t>
  </si>
  <si>
    <t>EDUARDO INACIA COSTA</t>
  </si>
  <si>
    <t>GUSTAVO DOS SANTOS GEIRA</t>
  </si>
  <si>
    <t>LUIZ AUGUSTO DA SILVA SANTANA</t>
  </si>
  <si>
    <t>REGIMAR DE SOUZA SOARES</t>
  </si>
  <si>
    <t>REGIS BARCELOS GONCALVES</t>
  </si>
  <si>
    <t>ID COLAB</t>
  </si>
  <si>
    <t>COLABORADOR
NOME</t>
  </si>
  <si>
    <t>ACEITO
(ASSINATURA)</t>
  </si>
  <si>
    <t>NÃO ACEITO
(ASSINATURA)</t>
  </si>
  <si>
    <t>07613506754</t>
  </si>
  <si>
    <t>VALDEMIR MACHADO JARDIM</t>
  </si>
  <si>
    <t>MARCOS VINICIUS SANTOS DE SOUZA MATOS</t>
  </si>
  <si>
    <t>MATHEUS DOS SANTOS CARLOS</t>
  </si>
  <si>
    <t>00354234552</t>
  </si>
  <si>
    <t>02205199510</t>
  </si>
  <si>
    <t>PEDIDOS DE DESLIGAMENTO</t>
  </si>
  <si>
    <t>TAXA DE RENTENÇÃO</t>
  </si>
  <si>
    <t>DIA</t>
  </si>
  <si>
    <t>FERIADO UTGC</t>
  </si>
  <si>
    <t>FERIADO EDIVIT</t>
  </si>
  <si>
    <t>Ano Novo</t>
  </si>
  <si>
    <t>Carnaval</t>
  </si>
  <si>
    <t>Cinzas</t>
  </si>
  <si>
    <t>Sexta-Feira Santa</t>
  </si>
  <si>
    <t>Dia de Tiradentes</t>
  </si>
  <si>
    <t>Nossa Senhora da Penha</t>
  </si>
  <si>
    <t>Dia do Trabalho</t>
  </si>
  <si>
    <t>Corpus Christi</t>
  </si>
  <si>
    <t>Dia dos Linhares</t>
  </si>
  <si>
    <t>Independência do Brasil</t>
  </si>
  <si>
    <t>Nossa Senhora da Vitória</t>
  </si>
  <si>
    <t>Nossa Senhora Aparecida</t>
  </si>
  <si>
    <t>Dia da Construção Civil</t>
  </si>
  <si>
    <t>Dia de Finados</t>
  </si>
  <si>
    <t>Proclamação da República</t>
  </si>
  <si>
    <t>Consciência Negra</t>
  </si>
  <si>
    <t>Dia de Nossa Senhora da Conceição</t>
  </si>
  <si>
    <t>Natal</t>
  </si>
  <si>
    <t>MÊS</t>
  </si>
  <si>
    <t>FEVEREIRO/26</t>
  </si>
  <si>
    <t>DIAS ÚTEIS TRABALHO</t>
  </si>
  <si>
    <t>14777923762</t>
  </si>
  <si>
    <t>17661807793</t>
  </si>
  <si>
    <t>ATUALIZAÇÃO: 09/03/2026</t>
  </si>
  <si>
    <t>ALEX GOMES DE OLIVEIRA</t>
  </si>
  <si>
    <t>04582075355</t>
  </si>
  <si>
    <t>WESLEY FERNANDES LEOPOLDO</t>
  </si>
  <si>
    <t>17264171744</t>
  </si>
  <si>
    <t>AELTON SOUZA BENTO</t>
  </si>
  <si>
    <t>FELIPE SANTOS DA VITORIA</t>
  </si>
  <si>
    <t>FERNANDO SILVA ROCHA</t>
  </si>
  <si>
    <t>VINICIUS COUTINHO PEREIRA MATOS</t>
  </si>
  <si>
    <t>LIDER DE ANDAIME</t>
  </si>
  <si>
    <t>AJUDANTE DE MONTAGEM</t>
  </si>
  <si>
    <t>01787021530</t>
  </si>
  <si>
    <t>07593389570</t>
  </si>
  <si>
    <t>04588972561</t>
  </si>
  <si>
    <t>03433937516</t>
  </si>
  <si>
    <t>ALIMENTAÇÃO</t>
  </si>
  <si>
    <t>TRANSPORTE</t>
  </si>
  <si>
    <t>PLANOS SAÚDE+ODONTO</t>
  </si>
  <si>
    <t>SEGURO DE VIDA</t>
  </si>
  <si>
    <t>ENCARGOS TRABALHISTAS</t>
  </si>
  <si>
    <t>TOTAL INDIVIDUAL</t>
  </si>
  <si>
    <t>ALEX MARRONE FARIAS FERREIRA</t>
  </si>
  <si>
    <t>ELISSON GUSMÃO DOS SANTOS</t>
  </si>
  <si>
    <t>LEONARDO DA SILVA SANTOS</t>
  </si>
  <si>
    <t>MARCONDES DE JESUS MEIRA</t>
  </si>
  <si>
    <t>WASHINGTON BORGES DA CRUZ</t>
  </si>
  <si>
    <t>ID PETROBRAS</t>
  </si>
  <si>
    <t>AJUDANTE DE CALDEIRARIA</t>
  </si>
  <si>
    <t>AJUDANTE DE CIVIL</t>
  </si>
  <si>
    <t>AJUDANTE DE PINTURA</t>
  </si>
  <si>
    <t>PROJETISTA</t>
  </si>
  <si>
    <t>AJUDA DE CUSTO</t>
  </si>
  <si>
    <t>CUSTO 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</si>
</sst>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_ ;\-#,##0.00\ "/>
  </numFmts>
  <fonts count="27" x14ac:knownFonts="1">
    <font>
      <sz val="11"/>
      <color theme="1"/>
      <name val="Aptos Narrow"/>
      <family val="2"/>
      <scheme val="minor"/>
    </font>
    <font>
      <b/>
      <sz val="18"/>
      <color rgb="FF000000"/>
      <name val="Bookman Old Style"/>
      <family val="1"/>
    </font>
    <font>
      <b/>
      <i/>
      <sz val="9"/>
      <color rgb="FF000000"/>
      <name val="Bookman Old Style"/>
      <family val="1"/>
    </font>
    <font>
      <b/>
      <sz val="9"/>
      <color theme="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color rgb="FF000000"/>
      <name val="Bookman Old Style"/>
      <family val="1"/>
    </font>
    <font>
      <b/>
      <sz val="9"/>
      <color rgb="FF000000"/>
      <name val="Bookman Old Style"/>
      <family val="1"/>
    </font>
    <font>
      <b/>
      <sz val="18"/>
      <color theme="0"/>
      <name val="Bookman Old Style"/>
      <family val="1"/>
    </font>
    <font>
      <sz val="8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8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theme="5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-0.499984740745262"/>
        <bgColor theme="1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 style="thin">
        <color indexed="64"/>
      </left>
      <right/>
      <top style="medium">
        <color indexed="64"/>
      </top>
      <bottom style="medium">
        <color theme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 style="thin">
        <color indexed="64"/>
      </left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4" fontId="11" fillId="0" borderId="0" applyFont="0" applyFill="0" applyBorder="0" applyAlignment="0" applyProtection="0"/>
    <xf numFmtId="0" fontId="12" fillId="4" borderId="0" applyNumberFormat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2" fillId="5" borderId="0" applyNumberFormat="0" applyBorder="0" applyAlignment="0" applyProtection="0"/>
    <xf numFmtId="44" fontId="1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171">
    <xf numFmtId="0" fontId="0" fillId="0" borderId="0" xfId="0"/>
    <xf numFmtId="0" fontId="4" fillId="0" borderId="5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top" wrapText="1"/>
    </xf>
    <xf numFmtId="0" fontId="5" fillId="0" borderId="6" xfId="0" applyFont="1" applyBorder="1" applyAlignment="1">
      <alignment horizontal="left" vertical="center" wrapText="1"/>
    </xf>
    <xf numFmtId="14" fontId="5" fillId="0" borderId="6" xfId="0" applyNumberFormat="1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14" fontId="0" fillId="0" borderId="6" xfId="0" applyNumberForma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14" fontId="5" fillId="0" borderId="6" xfId="0" applyNumberFormat="1" applyFont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0" fillId="0" borderId="23" xfId="0" applyBorder="1"/>
    <xf numFmtId="0" fontId="0" fillId="0" borderId="1" xfId="0" applyBorder="1"/>
    <xf numFmtId="0" fontId="0" fillId="0" borderId="2" xfId="0" applyBorder="1"/>
    <xf numFmtId="0" fontId="0" fillId="0" borderId="24" xfId="0" applyBorder="1"/>
    <xf numFmtId="0" fontId="0" fillId="0" borderId="20" xfId="0" applyBorder="1"/>
    <xf numFmtId="0" fontId="0" fillId="0" borderId="19" xfId="0" applyBorder="1"/>
    <xf numFmtId="0" fontId="10" fillId="0" borderId="22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44" fontId="5" fillId="0" borderId="6" xfId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4" fontId="5" fillId="0" borderId="0" xfId="1" applyFont="1" applyFill="1" applyBorder="1" applyAlignment="1">
      <alignment horizontal="left" vertical="center" wrapText="1"/>
    </xf>
    <xf numFmtId="0" fontId="13" fillId="0" borderId="0" xfId="2" applyFont="1" applyFill="1" applyBorder="1" applyAlignment="1">
      <alignment horizontal="center" vertical="center" wrapText="1"/>
    </xf>
    <xf numFmtId="0" fontId="12" fillId="6" borderId="0" xfId="5" applyFill="1" applyBorder="1" applyAlignment="1">
      <alignment horizontal="center" vertical="center" wrapText="1"/>
    </xf>
    <xf numFmtId="0" fontId="16" fillId="6" borderId="0" xfId="0" applyFont="1" applyFill="1" applyAlignment="1">
      <alignment horizontal="center" vertical="center" wrapText="1"/>
    </xf>
    <xf numFmtId="9" fontId="16" fillId="6" borderId="0" xfId="4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7" fillId="0" borderId="13" xfId="0" applyFont="1" applyBorder="1" applyAlignment="1">
      <alignment vertical="center" wrapText="1"/>
    </xf>
    <xf numFmtId="0" fontId="18" fillId="0" borderId="5" xfId="0" applyFont="1" applyBorder="1"/>
    <xf numFmtId="0" fontId="19" fillId="2" borderId="8" xfId="0" applyFont="1" applyFill="1" applyBorder="1" applyAlignment="1">
      <alignment horizontal="center" vertical="center" wrapText="1"/>
    </xf>
    <xf numFmtId="0" fontId="18" fillId="0" borderId="0" xfId="0" applyFont="1"/>
    <xf numFmtId="0" fontId="20" fillId="0" borderId="0" xfId="0" applyFont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/>
    </xf>
    <xf numFmtId="0" fontId="0" fillId="0" borderId="21" xfId="0" applyBorder="1" applyAlignment="1">
      <alignment horizontal="center" vertical="center" wrapText="1"/>
    </xf>
    <xf numFmtId="0" fontId="5" fillId="0" borderId="22" xfId="0" applyFont="1" applyBorder="1" applyAlignment="1">
      <alignment horizontal="left" vertical="center" wrapText="1"/>
    </xf>
    <xf numFmtId="44" fontId="5" fillId="0" borderId="22" xfId="1" applyFont="1" applyBorder="1" applyAlignment="1">
      <alignment horizontal="left" vertical="center" wrapText="1"/>
    </xf>
    <xf numFmtId="0" fontId="5" fillId="0" borderId="22" xfId="0" applyFont="1" applyBorder="1" applyAlignment="1">
      <alignment horizontal="center" vertical="center" wrapText="1"/>
    </xf>
    <xf numFmtId="14" fontId="5" fillId="0" borderId="22" xfId="0" applyNumberFormat="1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14" fontId="5" fillId="0" borderId="16" xfId="0" applyNumberFormat="1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44" fontId="5" fillId="0" borderId="1" xfId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left" vertical="center" wrapText="1"/>
    </xf>
    <xf numFmtId="0" fontId="12" fillId="7" borderId="5" xfId="2" applyFill="1" applyBorder="1" applyAlignment="1">
      <alignment horizontal="center" vertical="center" wrapText="1"/>
    </xf>
    <xf numFmtId="0" fontId="12" fillId="7" borderId="5" xfId="5" applyFill="1" applyBorder="1" applyAlignment="1">
      <alignment horizontal="center" vertical="center" wrapText="1"/>
    </xf>
    <xf numFmtId="0" fontId="12" fillId="7" borderId="7" xfId="5" applyFill="1" applyBorder="1" applyAlignment="1">
      <alignment horizontal="center" vertical="center" wrapText="1"/>
    </xf>
    <xf numFmtId="49" fontId="12" fillId="7" borderId="7" xfId="5" applyNumberFormat="1" applyFill="1" applyBorder="1" applyAlignment="1">
      <alignment horizontal="center" vertical="center" wrapText="1"/>
    </xf>
    <xf numFmtId="0" fontId="12" fillId="7" borderId="18" xfId="5" applyFill="1" applyBorder="1" applyAlignment="1">
      <alignment horizontal="center" vertical="center" wrapText="1"/>
    </xf>
    <xf numFmtId="0" fontId="14" fillId="3" borderId="22" xfId="5" applyFont="1" applyFill="1" applyBorder="1" applyAlignment="1">
      <alignment horizontal="center" vertical="center" wrapText="1"/>
    </xf>
    <xf numFmtId="0" fontId="14" fillId="3" borderId="16" xfId="5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3" borderId="27" xfId="3" applyNumberFormat="1" applyFont="1" applyFill="1" applyBorder="1" applyAlignment="1">
      <alignment horizontal="center" vertical="center" wrapText="1"/>
    </xf>
    <xf numFmtId="0" fontId="22" fillId="3" borderId="13" xfId="5" applyFont="1" applyFill="1" applyBorder="1" applyAlignment="1">
      <alignment horizontal="center" vertical="center" wrapText="1"/>
    </xf>
    <xf numFmtId="0" fontId="15" fillId="8" borderId="20" xfId="0" applyFont="1" applyFill="1" applyBorder="1" applyAlignment="1">
      <alignment horizontal="center" vertical="center" wrapText="1"/>
    </xf>
    <xf numFmtId="44" fontId="15" fillId="8" borderId="19" xfId="1" applyFont="1" applyFill="1" applyBorder="1" applyAlignment="1">
      <alignment horizontal="center" vertical="center" wrapText="1"/>
    </xf>
    <xf numFmtId="0" fontId="12" fillId="7" borderId="0" xfId="5" applyFill="1" applyBorder="1" applyAlignment="1">
      <alignment horizontal="center" vertical="center" wrapText="1"/>
    </xf>
    <xf numFmtId="0" fontId="13" fillId="9" borderId="28" xfId="2" applyFont="1" applyFill="1" applyBorder="1" applyAlignment="1">
      <alignment horizontal="center" vertical="center" wrapText="1"/>
    </xf>
    <xf numFmtId="0" fontId="13" fillId="9" borderId="0" xfId="2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4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14" fontId="5" fillId="0" borderId="1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0" fontId="15" fillId="8" borderId="20" xfId="0" applyNumberFormat="1" applyFont="1" applyFill="1" applyBorder="1" applyAlignment="1">
      <alignment horizontal="center" vertical="center" wrapText="1"/>
    </xf>
    <xf numFmtId="9" fontId="15" fillId="8" borderId="20" xfId="4" applyFont="1" applyFill="1" applyBorder="1" applyAlignment="1">
      <alignment horizontal="center" vertical="center" wrapText="1"/>
    </xf>
    <xf numFmtId="10" fontId="15" fillId="8" borderId="20" xfId="4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left"/>
    </xf>
    <xf numFmtId="0" fontId="14" fillId="11" borderId="0" xfId="0" applyFont="1" applyFill="1" applyAlignment="1">
      <alignment horizontal="center"/>
    </xf>
    <xf numFmtId="0" fontId="0" fillId="12" borderId="0" xfId="0" quotePrefix="1" applyFill="1"/>
    <xf numFmtId="0" fontId="0" fillId="12" borderId="0" xfId="0" applyFill="1" applyAlignment="1">
      <alignment horizontal="center"/>
    </xf>
    <xf numFmtId="0" fontId="13" fillId="7" borderId="44" xfId="5" applyFont="1" applyFill="1" applyBorder="1" applyAlignment="1">
      <alignment horizontal="center" vertical="center" wrapText="1"/>
    </xf>
    <xf numFmtId="0" fontId="13" fillId="7" borderId="45" xfId="5" applyFont="1" applyFill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left" vertical="center" wrapText="1"/>
    </xf>
    <xf numFmtId="0" fontId="13" fillId="7" borderId="47" xfId="5" applyFont="1" applyFill="1" applyBorder="1" applyAlignment="1">
      <alignment horizontal="center" vertical="center" wrapText="1"/>
    </xf>
    <xf numFmtId="49" fontId="13" fillId="7" borderId="45" xfId="5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44" fontId="5" fillId="0" borderId="7" xfId="1" applyFont="1" applyBorder="1" applyAlignment="1">
      <alignment horizontal="left" vertical="center" wrapText="1"/>
    </xf>
    <xf numFmtId="14" fontId="5" fillId="0" borderId="7" xfId="0" applyNumberFormat="1" applyFont="1" applyBorder="1" applyAlignment="1">
      <alignment horizontal="center" vertical="center" wrapText="1"/>
    </xf>
    <xf numFmtId="49" fontId="5" fillId="0" borderId="52" xfId="0" applyNumberFormat="1" applyFont="1" applyBorder="1" applyAlignment="1">
      <alignment horizontal="left" vertical="center" wrapText="1"/>
    </xf>
    <xf numFmtId="0" fontId="3" fillId="2" borderId="48" xfId="0" applyFont="1" applyFill="1" applyBorder="1" applyAlignment="1">
      <alignment horizontal="center" vertical="center" wrapText="1"/>
    </xf>
    <xf numFmtId="0" fontId="5" fillId="13" borderId="49" xfId="1" applyNumberFormat="1" applyFont="1" applyFill="1" applyBorder="1" applyAlignment="1">
      <alignment horizontal="center" vertical="center" wrapText="1"/>
    </xf>
    <xf numFmtId="0" fontId="5" fillId="0" borderId="50" xfId="1" applyNumberFormat="1" applyFont="1" applyBorder="1" applyAlignment="1">
      <alignment horizontal="center" vertical="center" wrapText="1"/>
    </xf>
    <xf numFmtId="0" fontId="5" fillId="13" borderId="50" xfId="1" applyNumberFormat="1" applyFont="1" applyFill="1" applyBorder="1" applyAlignment="1">
      <alignment horizontal="center" vertical="center" wrapText="1"/>
    </xf>
    <xf numFmtId="0" fontId="5" fillId="13" borderId="51" xfId="1" applyNumberFormat="1" applyFont="1" applyFill="1" applyBorder="1" applyAlignment="1">
      <alignment horizontal="center" vertical="center" wrapText="1"/>
    </xf>
    <xf numFmtId="0" fontId="13" fillId="0" borderId="55" xfId="5" applyFont="1" applyFill="1" applyBorder="1" applyAlignment="1">
      <alignment horizontal="center" vertical="center" wrapText="1"/>
    </xf>
    <xf numFmtId="0" fontId="13" fillId="0" borderId="56" xfId="5" applyFont="1" applyFill="1" applyBorder="1" applyAlignment="1">
      <alignment horizontal="center" vertical="center" wrapText="1"/>
    </xf>
    <xf numFmtId="0" fontId="3" fillId="0" borderId="57" xfId="0" applyFont="1" applyFill="1" applyBorder="1" applyAlignment="1">
      <alignment horizontal="center" vertical="center" wrapText="1"/>
    </xf>
    <xf numFmtId="0" fontId="3" fillId="0" borderId="56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5" fillId="0" borderId="53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44" fontId="5" fillId="0" borderId="1" xfId="1" applyFont="1" applyFill="1" applyBorder="1" applyAlignment="1">
      <alignment horizontal="left" vertical="center" wrapText="1"/>
    </xf>
    <xf numFmtId="44" fontId="5" fillId="0" borderId="1" xfId="1" applyFont="1" applyFill="1" applyBorder="1" applyAlignment="1">
      <alignment vertical="center"/>
    </xf>
    <xf numFmtId="44" fontId="5" fillId="0" borderId="1" xfId="0" applyNumberFormat="1" applyFont="1" applyFill="1" applyBorder="1" applyAlignment="1">
      <alignment vertical="center"/>
    </xf>
    <xf numFmtId="0" fontId="5" fillId="0" borderId="53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58" xfId="0" applyFont="1" applyFill="1" applyBorder="1" applyAlignment="1">
      <alignment horizontal="left" vertical="center" wrapText="1"/>
    </xf>
    <xf numFmtId="0" fontId="5" fillId="0" borderId="12" xfId="0" applyFont="1" applyFill="1" applyBorder="1" applyAlignment="1">
      <alignment horizontal="left" vertical="center" wrapText="1"/>
    </xf>
    <xf numFmtId="0" fontId="5" fillId="0" borderId="12" xfId="0" applyFont="1" applyFill="1" applyBorder="1" applyAlignment="1">
      <alignment horizontal="center" vertical="center" wrapText="1"/>
    </xf>
    <xf numFmtId="14" fontId="5" fillId="0" borderId="12" xfId="0" applyNumberFormat="1" applyFont="1" applyFill="1" applyBorder="1" applyAlignment="1">
      <alignment horizontal="center" vertical="center" wrapText="1"/>
    </xf>
    <xf numFmtId="44" fontId="5" fillId="0" borderId="12" xfId="1" applyFont="1" applyFill="1" applyBorder="1" applyAlignment="1">
      <alignment horizontal="left" vertical="center" wrapText="1"/>
    </xf>
    <xf numFmtId="44" fontId="5" fillId="0" borderId="12" xfId="1" applyFont="1" applyFill="1" applyBorder="1" applyAlignment="1">
      <alignment vertical="center"/>
    </xf>
    <xf numFmtId="44" fontId="5" fillId="0" borderId="12" xfId="0" applyNumberFormat="1" applyFont="1" applyFill="1" applyBorder="1" applyAlignment="1">
      <alignment vertical="center"/>
    </xf>
    <xf numFmtId="0" fontId="0" fillId="0" borderId="0" xfId="0" applyFill="1"/>
    <xf numFmtId="44" fontId="5" fillId="0" borderId="54" xfId="0" applyNumberFormat="1" applyFont="1" applyFill="1" applyBorder="1" applyAlignment="1">
      <alignment horizontal="center" vertical="center"/>
    </xf>
    <xf numFmtId="44" fontId="5" fillId="0" borderId="6" xfId="0" applyNumberFormat="1" applyFont="1" applyFill="1" applyBorder="1" applyAlignment="1">
      <alignment horizontal="center" vertical="center"/>
    </xf>
    <xf numFmtId="44" fontId="13" fillId="14" borderId="46" xfId="1" applyFont="1" applyFill="1" applyBorder="1" applyAlignment="1">
      <alignment horizontal="center" vertical="center" wrapText="1"/>
    </xf>
    <xf numFmtId="0" fontId="26" fillId="14" borderId="46" xfId="1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44" fontId="5" fillId="0" borderId="1" xfId="1" applyNumberFormat="1" applyFont="1" applyFill="1" applyBorder="1" applyAlignment="1">
      <alignment horizontal="left" vertical="center" wrapText="1"/>
    </xf>
    <xf numFmtId="44" fontId="5" fillId="0" borderId="59" xfId="0" applyNumberFormat="1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vertical="center" wrapText="1"/>
    </xf>
    <xf numFmtId="44" fontId="5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center" wrapText="1"/>
    </xf>
    <xf numFmtId="44" fontId="5" fillId="0" borderId="0" xfId="1" applyFont="1" applyFill="1" applyAlignment="1">
      <alignment horizontal="left" vertical="center" wrapText="1"/>
    </xf>
    <xf numFmtId="44" fontId="5" fillId="0" borderId="0" xfId="1" applyFont="1" applyFill="1" applyAlignment="1">
      <alignment vertical="center"/>
    </xf>
    <xf numFmtId="164" fontId="13" fillId="14" borderId="46" xfId="1" applyNumberFormat="1" applyFont="1" applyFill="1" applyBorder="1" applyAlignment="1">
      <alignment horizontal="right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4" fillId="11" borderId="0" xfId="0" applyFont="1" applyFill="1" applyAlignment="1">
      <alignment horizontal="center"/>
    </xf>
  </cellXfs>
  <cellStyles count="8">
    <cellStyle name="Ênfase1" xfId="5" builtinId="29"/>
    <cellStyle name="Ênfase2" xfId="2" builtinId="33"/>
    <cellStyle name="Moeda" xfId="1" builtinId="4"/>
    <cellStyle name="Moeda 2" xfId="6" xr:uid="{43EDAEB3-B3CF-46A6-9FE5-C14F5AB5C193}"/>
    <cellStyle name="Normal" xfId="0" builtinId="0"/>
    <cellStyle name="Porcentagem" xfId="4" builtinId="5"/>
    <cellStyle name="Vírgula" xfId="3" builtinId="3"/>
    <cellStyle name="Vírgula 2" xfId="7" xr:uid="{A3DD4990-DE35-4B83-A0DA-85C3A903A87C}"/>
  </cellStyles>
  <dxfs count="93">
    <dxf>
      <numFmt numFmtId="19" formatCode="dd/mm/yyyy"/>
      <alignment horizontal="left" vertical="bottom" textRotation="0" wrapText="0" indent="0" justifyLastLine="0" shrinkToFit="0" readingOrder="0"/>
    </dxf>
    <dxf>
      <border outline="0">
        <bottom style="medium">
          <color auto="1"/>
        </bottom>
      </border>
    </dxf>
    <dxf>
      <numFmt numFmtId="19" formatCode="dd/mm/yyyy"/>
      <alignment horizontal="left" vertical="bottom" textRotation="0" wrapText="0" indent="0" justifyLastLine="0" shrinkToFit="0" readingOrder="0"/>
    </dxf>
    <dxf>
      <border outline="0">
        <bottom style="medium">
          <color auto="1"/>
        </bottom>
      </border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theme="5" tint="0.79998168889431442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theme="5" tint="0.79998168889431442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theme="5" tint="0.79998168889431442"/>
          <bgColor auto="1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outline="0">
        <right style="thin">
          <color indexed="64"/>
        </right>
      </border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9"/>
        <color auto="1"/>
        <name val="Aptos Narrow"/>
        <scheme val="minor"/>
      </font>
      <fill>
        <patternFill patternType="none">
          <fgColor indexed="64"/>
          <bgColor auto="1"/>
        </patternFill>
      </fill>
      <border outline="0">
        <right style="medium">
          <color indexed="64"/>
        </right>
      </border>
      <protection locked="1" hidden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indexed="64"/>
          <bgColor auto="1"/>
        </patternFill>
      </fill>
      <protection locked="1" hidden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Bookman Old Style"/>
        <family val="1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rgb="FFFFD96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protection locked="1" hidden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</font>
      <fill>
        <patternFill patternType="none">
          <bgColor auto="1"/>
        </patternFill>
      </fill>
    </dxf>
    <dxf>
      <font>
        <color rgb="FF0F243E"/>
      </font>
    </dxf>
  </dxfs>
  <tableStyles count="2" defaultTableStyle="TableStyleMedium2" defaultPivotStyle="PivotStyleLight16">
    <tableStyle name="Estilo de Segmentação de Dados 1" pivot="0" table="0" count="1" xr9:uid="{72482472-9896-48FC-A8B3-FB73E2375169}">
      <tableStyleElement type="wholeTable" dxfId="92"/>
    </tableStyle>
    <tableStyle name="Estilo de Segmentação de Dados 14" pivot="0" table="0" count="9" xr9:uid="{88DB641E-C608-4B52-8DD7-D3F090112BBB}">
      <tableStyleElement type="headerRow" dxfId="91"/>
    </tableStyle>
  </tableStyles>
  <colors>
    <mruColors>
      <color rgb="FFFFD961"/>
      <color rgb="FF1F497D"/>
      <color rgb="FFFFFF99"/>
      <color rgb="FF0F243E"/>
      <color rgb="FF31869B"/>
    </mruColors>
  </colors>
  <extLst>
    <ext xmlns:x14="http://schemas.microsoft.com/office/spreadsheetml/2009/9/main" uri="{46F421CA-312F-682f-3DD2-61675219B42D}">
      <x14:dxfs count="8">
        <dxf>
          <font>
            <color theme="0"/>
          </font>
          <fill>
            <patternFill>
              <bgColor rgb="FF1F497D"/>
            </patternFill>
          </fill>
        </dxf>
        <dxf>
          <fill>
            <patternFill>
              <bgColor theme="0" tint="-0.14996795556505021"/>
            </patternFill>
          </fill>
        </dxf>
        <dxf>
          <font>
            <color theme="0"/>
          </font>
          <fill>
            <patternFill>
              <bgColor rgb="FF1F497D"/>
            </patternFill>
          </fill>
        </dxf>
        <dxf>
          <fill>
            <patternFill>
              <bgColor theme="0" tint="-0.14996795556505021"/>
            </patternFill>
          </fill>
        </dxf>
        <dxf>
          <font>
            <color theme="0"/>
          </font>
          <fill>
            <patternFill>
              <bgColor rgb="FF1F497D"/>
            </patternFill>
          </fill>
        </dxf>
        <dxf>
          <font>
            <color theme="0"/>
          </font>
          <fill>
            <patternFill>
              <bgColor rgb="FF1F497D"/>
            </patternFill>
          </fill>
        </dxf>
        <dxf>
          <fill>
            <patternFill>
              <bgColor theme="0" tint="-0.14996795556505021"/>
            </patternFill>
          </fill>
        </dxf>
        <dxf>
          <fill>
            <patternFill>
              <bgColor theme="0" tint="-0.1499679555650502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14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5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microsoft.com/office/2007/relationships/slicerCache" Target="slicerCaches/slicerCache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microsoft.com/office/2007/relationships/slicerCache" Target="slicerCaches/slicerCache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69259</xdr:colOff>
          <xdr:row>57</xdr:row>
          <xdr:rowOff>63708</xdr:rowOff>
        </xdr:from>
        <xdr:to>
          <xdr:col>1</xdr:col>
          <xdr:colOff>69259</xdr:colOff>
          <xdr:row>57</xdr:row>
          <xdr:rowOff>63708</xdr:rowOff>
        </xdr:to>
        <xdr:grpSp>
          <xdr:nvGrpSpPr>
            <xdr:cNvPr id="2" name="Agrupar 1">
              <a:extLst>
                <a:ext uri="{FF2B5EF4-FFF2-40B4-BE49-F238E27FC236}">
                  <a16:creationId xmlns:a16="http://schemas.microsoft.com/office/drawing/2014/main" id="{2BCE2565-6F59-4449-8D84-BCA557C3DA1D}"/>
                </a:ext>
              </a:extLst>
            </xdr:cNvPr>
            <xdr:cNvGrpSpPr/>
          </xdr:nvGrpSpPr>
          <xdr:grpSpPr>
            <a:xfrm>
              <a:off x="67354" y="9040612"/>
              <a:ext cx="0" cy="0"/>
              <a:chOff x="67354" y="9040612"/>
              <a:chExt cx="0" cy="0"/>
            </a:xfrm>
          </xdr:grpSpPr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</xdr:row>
          <xdr:rowOff>0</xdr:rowOff>
        </xdr:from>
        <xdr:to>
          <xdr:col>8</xdr:col>
          <xdr:colOff>600</xdr:colOff>
          <xdr:row>2</xdr:row>
          <xdr:rowOff>4800</xdr:rowOff>
        </xdr:to>
        <xdr:grpSp>
          <xdr:nvGrpSpPr>
            <xdr:cNvPr id="3" name="Agrupar 2">
              <a:extLst>
                <a:ext uri="{FF2B5EF4-FFF2-40B4-BE49-F238E27FC236}">
                  <a16:creationId xmlns:a16="http://schemas.microsoft.com/office/drawing/2014/main" id="{B6E93FAA-253E-4D92-9B58-067E0FECB114}"/>
                </a:ext>
              </a:extLst>
            </xdr:cNvPr>
            <xdr:cNvGrpSpPr/>
          </xdr:nvGrpSpPr>
          <xdr:grpSpPr>
            <a:xfrm>
              <a:off x="7293429" y="1034143"/>
              <a:ext cx="3497635" cy="6705"/>
              <a:chOff x="11306175" y="504825"/>
              <a:chExt cx="1467450" cy="1224000"/>
            </a:xfrm>
          </xdr:grpSpPr>
        </xdr:grpSp>
        <xdr:clientData/>
      </xdr:twoCellAnchor>
    </mc:Choice>
    <mc:Fallback/>
  </mc:AlternateContent>
  <xdr:twoCellAnchor>
    <xdr:from>
      <xdr:col>1</xdr:col>
      <xdr:colOff>10606</xdr:colOff>
      <xdr:row>2</xdr:row>
      <xdr:rowOff>21169</xdr:rowOff>
    </xdr:from>
    <xdr:to>
      <xdr:col>4</xdr:col>
      <xdr:colOff>3071699</xdr:colOff>
      <xdr:row>3</xdr:row>
      <xdr:rowOff>327376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B228DFB5-EC1E-453F-B440-30A46566675F}"/>
            </a:ext>
          </a:extLst>
        </xdr:cNvPr>
        <xdr:cNvGrpSpPr/>
      </xdr:nvGrpSpPr>
      <xdr:grpSpPr>
        <a:xfrm>
          <a:off x="12511" y="1051502"/>
          <a:ext cx="7285839" cy="768850"/>
          <a:chOff x="10606" y="687919"/>
          <a:chExt cx="7876510" cy="761290"/>
        </a:xfrm>
      </xdr:grpSpPr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4" name="TOMADOR">
                <a:extLst>
                  <a:ext uri="{FF2B5EF4-FFF2-40B4-BE49-F238E27FC236}">
                    <a16:creationId xmlns:a16="http://schemas.microsoft.com/office/drawing/2014/main" id="{EDD0A2AB-5891-3808-A573-831591E75B10}"/>
                  </a:ext>
                </a:extLst>
              </xdr:cNvPr>
              <xdr:cNvGraphicFramePr>
                <a:graphicFrameLocks noMove="1" noResize="1"/>
              </xdr:cNvGraphicFramePr>
            </xdr:nvGraphicFramePr>
            <xdr:xfrm>
              <a:off x="10606" y="687919"/>
              <a:ext cx="2844000" cy="756000"/>
            </xdr:xfrm>
            <a:graphic>
              <a:graphicData uri="http://schemas.microsoft.com/office/drawing/2010/slicer">
                <sle:slicer xmlns:sle="http://schemas.microsoft.com/office/drawing/2010/slicer" name="TOMADOR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606" y="687919"/>
                <a:ext cx="2844000" cy="756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  </a:r>
              </a:p>
            </xdr:txBody>
          </xdr:sp>
        </mc:Fallback>
      </mc:AlternateContent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5" name="MOD | MOI">
                <a:extLst>
                  <a:ext uri="{FF2B5EF4-FFF2-40B4-BE49-F238E27FC236}">
                    <a16:creationId xmlns:a16="http://schemas.microsoft.com/office/drawing/2014/main" id="{2C6307DD-3C89-3663-7AD5-C8673029D79E}"/>
                  </a:ext>
                </a:extLst>
              </xdr:cNvPr>
              <xdr:cNvGraphicFramePr>
                <a:graphicFrameLocks noMove="1" noResize="1"/>
              </xdr:cNvGraphicFramePr>
            </xdr:nvGraphicFramePr>
            <xdr:xfrm>
              <a:off x="2853638" y="692678"/>
              <a:ext cx="2880000" cy="756000"/>
            </xdr:xfrm>
            <a:graphic>
              <a:graphicData uri="http://schemas.microsoft.com/office/drawing/2010/slicer">
                <sle:slicer xmlns:sle="http://schemas.microsoft.com/office/drawing/2010/slicer" name="MOD | MOI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853638" y="692678"/>
                <a:ext cx="2880000" cy="756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  </a:r>
              </a:p>
            </xdr:txBody>
          </xdr:sp>
        </mc:Fallback>
      </mc:AlternateContent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8" name="SITUAÇÃO">
                <a:extLst>
                  <a:ext uri="{FF2B5EF4-FFF2-40B4-BE49-F238E27FC236}">
                    <a16:creationId xmlns:a16="http://schemas.microsoft.com/office/drawing/2014/main" id="{9AC6272F-E9AD-8681-309E-F54782726E39}"/>
                  </a:ext>
                </a:extLst>
              </xdr:cNvPr>
              <xdr:cNvGraphicFramePr>
                <a:graphicFrameLocks noMove="1" noResize="1"/>
              </xdr:cNvGraphicFramePr>
            </xdr:nvGraphicFramePr>
            <xdr:xfrm>
              <a:off x="5727116" y="693209"/>
              <a:ext cx="2160000" cy="756000"/>
            </xdr:xfrm>
            <a:graphic>
              <a:graphicData uri="http://schemas.microsoft.com/office/drawing/2010/slicer">
                <sle:slicer xmlns:sle="http://schemas.microsoft.com/office/drawing/2010/slicer" name="SITUAÇÃ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727116" y="693209"/>
                <a:ext cx="2160000" cy="756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  </a:r>
              </a:p>
            </xdr:txBody>
          </xdr:sp>
        </mc:Fallback>
      </mc:AlternateContent>
    </xdr:grpSp>
    <xdr:clientData/>
  </xdr:twoCellAnchor>
  <xdr:twoCellAnchor editAs="oneCell">
    <xdr:from>
      <xdr:col>1</xdr:col>
      <xdr:colOff>66462</xdr:colOff>
      <xdr:row>0</xdr:row>
      <xdr:rowOff>56515</xdr:rowOff>
    </xdr:from>
    <xdr:to>
      <xdr:col>2</xdr:col>
      <xdr:colOff>396240</xdr:colOff>
      <xdr:row>1</xdr:row>
      <xdr:rowOff>512445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E4DE6F73-2690-41D4-BCAC-A2DCEAEB9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62" y="56515"/>
          <a:ext cx="1438488" cy="8274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67354</xdr:colOff>
          <xdr:row>28</xdr:row>
          <xdr:rowOff>59898</xdr:rowOff>
        </xdr:from>
        <xdr:to>
          <xdr:col>1</xdr:col>
          <xdr:colOff>67354</xdr:colOff>
          <xdr:row>28</xdr:row>
          <xdr:rowOff>59898</xdr:rowOff>
        </xdr:to>
        <xdr:grpSp>
          <xdr:nvGrpSpPr>
            <xdr:cNvPr id="2" name="Agrupar 1">
              <a:extLst>
                <a:ext uri="{FF2B5EF4-FFF2-40B4-BE49-F238E27FC236}">
                  <a16:creationId xmlns:a16="http://schemas.microsoft.com/office/drawing/2014/main" id="{B8C59FDB-BD78-430D-8F41-715FD86E3E9F}"/>
                </a:ext>
              </a:extLst>
            </xdr:cNvPr>
            <xdr:cNvGrpSpPr/>
          </xdr:nvGrpSpPr>
          <xdr:grpSpPr>
            <a:xfrm>
              <a:off x="884599" y="2961213"/>
              <a:ext cx="0" cy="0"/>
              <a:chOff x="884599" y="2961213"/>
              <a:chExt cx="0" cy="0"/>
            </a:xfrm>
          </xdr:grpSpPr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67354</xdr:colOff>
          <xdr:row>37</xdr:row>
          <xdr:rowOff>59898</xdr:rowOff>
        </xdr:from>
        <xdr:to>
          <xdr:col>0</xdr:col>
          <xdr:colOff>67354</xdr:colOff>
          <xdr:row>37</xdr:row>
          <xdr:rowOff>59898</xdr:rowOff>
        </xdr:to>
        <xdr:grpSp>
          <xdr:nvGrpSpPr>
            <xdr:cNvPr id="4" name="Agrupar 3">
              <a:extLst>
                <a:ext uri="{FF2B5EF4-FFF2-40B4-BE49-F238E27FC236}">
                  <a16:creationId xmlns:a16="http://schemas.microsoft.com/office/drawing/2014/main" id="{1AEF2773-BB9D-4A22-B503-5BC21382ADD5}"/>
                </a:ext>
              </a:extLst>
            </xdr:cNvPr>
            <xdr:cNvGrpSpPr/>
          </xdr:nvGrpSpPr>
          <xdr:grpSpPr>
            <a:xfrm>
              <a:off x="65449" y="4628088"/>
              <a:ext cx="0" cy="0"/>
              <a:chOff x="65449" y="4628088"/>
              <a:chExt cx="0" cy="0"/>
            </a:xfrm>
          </xdr:grpSpPr>
        </xdr:grpSp>
        <xdr:clientData/>
      </xdr:twoCellAnchor>
    </mc:Choice>
    <mc:Fallback/>
  </mc:AlternateContent>
  <xdr:twoCellAnchor editAs="absolute">
    <xdr:from>
      <xdr:col>1</xdr:col>
      <xdr:colOff>22411</xdr:colOff>
      <xdr:row>0</xdr:row>
      <xdr:rowOff>0</xdr:rowOff>
    </xdr:from>
    <xdr:to>
      <xdr:col>2</xdr:col>
      <xdr:colOff>934123</xdr:colOff>
      <xdr:row>0</xdr:row>
      <xdr:rowOff>684000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TOMADOR 2">
              <a:extLst>
                <a:ext uri="{FF2B5EF4-FFF2-40B4-BE49-F238E27FC236}">
                  <a16:creationId xmlns:a16="http://schemas.microsoft.com/office/drawing/2014/main" id="{80814F74-9687-4EA6-862D-C61E8F900681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MADO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1293" y="0"/>
              <a:ext cx="3955678" cy="68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58475</xdr:colOff>
      <xdr:row>1</xdr:row>
      <xdr:rowOff>21166</xdr:rowOff>
    </xdr:from>
    <xdr:to>
      <xdr:col>4</xdr:col>
      <xdr:colOff>2436426</xdr:colOff>
      <xdr:row>2</xdr:row>
      <xdr:rowOff>475193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B2F43EF6-AE81-EB5E-66E2-197350568556}"/>
            </a:ext>
          </a:extLst>
        </xdr:cNvPr>
        <xdr:cNvGrpSpPr/>
      </xdr:nvGrpSpPr>
      <xdr:grpSpPr>
        <a:xfrm>
          <a:off x="988115" y="626956"/>
          <a:ext cx="7401436" cy="975997"/>
          <a:chOff x="2795750" y="631189"/>
          <a:chExt cx="11498133" cy="980238"/>
        </a:xfrm>
      </xdr:grpSpPr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2" name="TOMADOR 1">
                <a:extLst>
                  <a:ext uri="{FF2B5EF4-FFF2-40B4-BE49-F238E27FC236}">
                    <a16:creationId xmlns:a16="http://schemas.microsoft.com/office/drawing/2014/main" id="{D40E3949-E248-4E25-A8FE-89C451D3DEC8}"/>
                  </a:ext>
                </a:extLst>
              </xdr:cNvPr>
              <xdr:cNvGraphicFramePr>
                <a:graphicFrameLocks noMove="1" noResize="1"/>
              </xdr:cNvGraphicFramePr>
            </xdr:nvGraphicFramePr>
            <xdr:xfrm>
              <a:off x="2795750" y="650693"/>
              <a:ext cx="2022094" cy="960734"/>
            </xdr:xfrm>
            <a:graphic>
              <a:graphicData uri="http://schemas.microsoft.com/office/drawing/2010/slicer">
                <sle:slicer xmlns:sle="http://schemas.microsoft.com/office/drawing/2010/slicer" name="TOMADOR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106225" y="649844"/>
                <a:ext cx="1440000" cy="93977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  </a:r>
              </a:p>
            </xdr:txBody>
          </xdr:sp>
        </mc:Fallback>
      </mc:AlternateContent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3" name="SETOR">
                <a:extLst>
                  <a:ext uri="{FF2B5EF4-FFF2-40B4-BE49-F238E27FC236}">
                    <a16:creationId xmlns:a16="http://schemas.microsoft.com/office/drawing/2014/main" id="{5FF43C52-A047-4B35-ADEC-97A78BC50CCA}"/>
                  </a:ext>
                </a:extLst>
              </xdr:cNvPr>
              <xdr:cNvGraphicFramePr>
                <a:graphicFrameLocks noMove="1" noResize="1"/>
              </xdr:cNvGraphicFramePr>
            </xdr:nvGraphicFramePr>
            <xdr:xfrm>
              <a:off x="4840594" y="631189"/>
              <a:ext cx="9453289" cy="979295"/>
            </xdr:xfrm>
            <a:graphic>
              <a:graphicData uri="http://schemas.microsoft.com/office/drawing/2010/slicer">
                <sle:slicer xmlns:sle="http://schemas.microsoft.com/office/drawing/2010/slicer" name="SETOR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562426" y="630766"/>
                <a:ext cx="6732000" cy="95793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  </a:r>
              </a:p>
            </xdr:txBody>
          </xdr:sp>
        </mc:Fallback>
      </mc:AlternateContent>
    </xdr:grpSp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OMADOR" xr10:uid="{2DC2CD4B-ADA6-4254-A13C-F3E2F0919423}" sourceName="TOMADOR">
  <extLst>
    <x:ext xmlns:x15="http://schemas.microsoft.com/office/spreadsheetml/2010/11/main" uri="{2F2917AC-EB37-4324-AD4E-5DD8C200BD13}">
      <x15:tableSlicerCache tableId="2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OD___MOI" xr10:uid="{47EEB851-2FAD-4E17-ACE1-A0F38EC53D40}" sourceName="TIPO">
  <extLst>
    <x:ext xmlns:x15="http://schemas.microsoft.com/office/spreadsheetml/2010/11/main" uri="{2F2917AC-EB37-4324-AD4E-5DD8C200BD13}">
      <x15:tableSlicerCache tableId="2" column="6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OMADOR1" xr10:uid="{95FAEF43-7483-4695-ABFA-E34D7336391E}" sourceName="TOMADOR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TOR" xr10:uid="{A18DB052-1AF8-4A22-9A99-C77EF736C908}" sourceName="SETOR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ITUAÇÃO" xr10:uid="{AFB166F8-CD55-4E86-A6BB-C0F5C6C334F9}" sourceName="SITUAÇÃO">
  <extLst>
    <x:ext xmlns:x15="http://schemas.microsoft.com/office/spreadsheetml/2010/11/main" uri="{2F2917AC-EB37-4324-AD4E-5DD8C200BD13}">
      <x15:tableSlicerCache tableId="2" column="9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OMADOR2" xr10:uid="{7D79DC1D-70E6-4E96-8BF4-25265F9A5C71}" sourceName="TOMADOR">
  <extLst>
    <x:ext xmlns:x15="http://schemas.microsoft.com/office/spreadsheetml/2010/11/main" uri="{2F2917AC-EB37-4324-AD4E-5DD8C200BD13}">
      <x15:tableSlicerCache tableId="7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OMADOR" xr10:uid="{5D6DBC1B-5581-463E-9A93-AA9DA2436266}" cache="SegmentaçãodeDados_TOMADOR" caption="TOMADOR" columnCount="2" style="Estilo de Segmentação de Dados 14" lockedPosition="1" rowHeight="324000"/>
  <slicer name="MOD | MOI" xr10:uid="{E0474C90-BB0A-469D-B301-3001F847AB44}" cache="SegmentaçãodeDados_MOD___MOI" caption="TIPO" columnCount="3" style="Estilo de Segmentação de Dados 14" lockedPosition="1" rowHeight="324000"/>
  <slicer name="SITUAÇÃO" xr10:uid="{7EF71F1E-95C9-4BA5-B4E1-C8AC33E3C9C9}" cache="SegmentaçãodeDados_SITUAÇÃO" caption="SITUAÇÃO" columnCount="2" style="Estilo de Segmentação de Dados 14" lockedPosition="1" rowHeight="324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OMADOR 2" xr10:uid="{D8AD5B69-EE24-4AE0-8EE5-167D1E6A54C4}" cache="SegmentaçãodeDados_TOMADOR2" caption="TOMADOR" columnCount="2" style="Estilo de Segmentação de Dados 14" lockedPosition="1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OMADOR 1" xr10:uid="{82C45320-F237-4B67-8E27-12821733CB63}" cache="SegmentaçãodeDados_TOMADOR1" caption="TOMADOR" style="Estilo de Segmentação de Dados 14" lockedPosition="1" rowHeight="252000"/>
  <slicer name="SETOR" xr10:uid="{31B10F69-8688-44D6-83CE-A3BB286799CF}" cache="SegmentaçãodeDados_SETOR" caption="SETOR" columnCount="3" style="Estilo de Segmentação de Dados 14" lockedPosition="1" rowHeight="252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5FDFE0-4666-4332-A059-B3560D0BD2A3}" name="Tb_EFETIVO" displayName="Tb_EFETIVO" ref="A5:N108" totalsRowShown="0" headerRowDxfId="90" dataDxfId="88" headerRowBorderDxfId="89" tableBorderDxfId="87">
  <autoFilter ref="A5:N108" xr:uid="{625FDFE0-4666-4332-A059-B3560D0BD2A3}">
    <filterColumn colId="12">
      <filters blank="1"/>
    </filterColumn>
  </autoFilter>
  <tableColumns count="14">
    <tableColumn id="1" xr3:uid="{954D6C96-6392-4798-B66C-7B9D46539444}" name="CONTADOR" dataDxfId="86">
      <calculatedColumnFormula>IF(Tb_EFETIVO[[#This Row],[TOMADOR]]="",0,1)</calculatedColumnFormula>
    </tableColumn>
    <tableColumn id="2" xr3:uid="{0E0BE561-F4F9-4093-BD71-66D3324CEA28}" name="TOMADOR" dataDxfId="85"/>
    <tableColumn id="12" xr3:uid="{8F9B6F08-02DC-447B-BB7E-3449B4871A72}" name="SINDICATO" dataDxfId="84">
      <calculatedColumnFormula>IF(B6="UTGC","SINTRACON",IF(B6="EDIVIT","SINTRACONST",""))</calculatedColumnFormula>
    </tableColumn>
    <tableColumn id="3" xr3:uid="{A7022265-76B6-47F9-9406-DC40B8721E22}" name="NOME COMPLETO" dataDxfId="83"/>
    <tableColumn id="4" xr3:uid="{90FC9B1C-19C8-47BA-BC4E-14E517884D3A}" name="FUNÇÃO" dataDxfId="82"/>
    <tableColumn id="13" xr3:uid="{7C877C62-7AAE-4A89-A3A3-EA6AFAABD402}" name="SALÁRIO BASE" dataDxfId="81"/>
    <tableColumn id="14" xr3:uid="{7B8E5B8F-8ECB-4262-971F-93E61C6CF4CC}" name="SALÁRIO+PER" dataDxfId="80">
      <calculatedColumnFormula>IF(Tb_EFETIVO[[#This Row],[TOMADOR]]="UTGC",Tb_EFETIVO[[#This Row],[SALÁRIO BASE]]*1.3,Tb_EFETIVO[[#This Row],[SALÁRIO BASE]])</calculatedColumnFormula>
    </tableColumn>
    <tableColumn id="5" xr3:uid="{D5D5B677-015A-4828-B660-95E50CD23A4B}" name="ID PETROBRAS" dataDxfId="79"/>
    <tableColumn id="6" xr3:uid="{7046F892-285C-4312-ADAE-3704AF9C7722}" name="TIPO" dataDxfId="78"/>
    <tableColumn id="7" xr3:uid="{5E8F1D26-1906-486A-B89A-459562BC90CE}" name="ADMISSÃO" dataDxfId="77"/>
    <tableColumn id="11" xr3:uid="{5C44F368-1522-4E1D-BA00-D61C42F8B33C}" name="NASCIMENTO" dataDxfId="76"/>
    <tableColumn id="10" xr3:uid="{2B0AE907-F9DD-4D85-80E3-F0A2F19056A4}" name="CPF" dataDxfId="75"/>
    <tableColumn id="8" xr3:uid="{90293C77-4256-417C-A830-087560E1C9C9}" name="DEMISSÃO" dataDxfId="74"/>
    <tableColumn id="9" xr3:uid="{1A774EB9-10D0-47EB-9263-74966AD41575}" name="SITUAÇÃO" dataDxfId="73">
      <calculatedColumnFormula>IF(Tb_EFETIVO[[#This Row],[DEMISSÃO]]="","ATIVO","INATIVO")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6D0772-A081-44B5-B3A4-FCF0F8A71D3C}" name="tb_Custo" displayName="tb_Custo" ref="A2:P84" headerRowDxfId="71" dataDxfId="70" tableBorderDxfId="69" dataCellStyle="Moeda">
  <autoFilter ref="A2:P84" xr:uid="{096D0772-A081-44B5-B3A4-FCF0F8A71D3C}">
    <filterColumn colId="0">
      <filters>
        <filter val="UTGC"/>
      </filters>
    </filterColumn>
    <filterColumn colId="3">
      <filters>
        <filter val="ATIVO"/>
      </filters>
    </filterColumn>
    <filterColumn colId="4">
      <filters>
        <filter val="MOD"/>
      </filters>
    </filterColumn>
  </autoFilter>
  <sortState xmlns:xlrd2="http://schemas.microsoft.com/office/spreadsheetml/2017/richdata2" ref="A3:O84">
    <sortCondition descending="1" ref="H2:H84"/>
  </sortState>
  <tableColumns count="16">
    <tableColumn id="1" xr3:uid="{813F2269-90BF-468A-A634-619999EB5C00}" name="TOMADOR" totalsRowLabel="Total" dataDxfId="68" totalsRowDxfId="67"/>
    <tableColumn id="2" xr3:uid="{0BD7E195-9F84-47BA-B446-9BE8A583296C}" name="NOME COMPLETO" dataDxfId="66" totalsRowDxfId="65"/>
    <tableColumn id="3" xr3:uid="{C56A2657-C091-463B-841D-3387CF5FE48A}" name="FUNÇÃO" dataDxfId="64" totalsRowDxfId="63"/>
    <tableColumn id="14" xr3:uid="{0BB9A852-E411-4077-B62C-CE4FE54ED850}" name="SITUAÇÃO" dataDxfId="62" totalsRowDxfId="61">
      <calculatedColumnFormula>_xlfn.XLOOKUP(tb_Custo[[#This Row],[NOME COMPLETO]],Tb_EFETIVO[NOME COMPLETO],Tb_EFETIVO[SITUAÇÃO],"",0,1)</calculatedColumnFormula>
    </tableColumn>
    <tableColumn id="4" xr3:uid="{401027C4-A96E-426E-B8F5-0CB430371FC1}" name="TIPO" dataDxfId="60" totalsRowDxfId="59"/>
    <tableColumn id="5" xr3:uid="{5D3D095E-B1C6-4991-90FD-F40283588D90}" name="ADMISSÃO" dataDxfId="58" totalsRowDxfId="57"/>
    <tableColumn id="6" xr3:uid="{8D1C2875-954C-4A93-88E9-E2BDF901BECA}" name="SALÁRIO BASE" dataDxfId="56" totalsRowDxfId="55" dataCellStyle="Moeda">
      <calculatedColumnFormula>_xlfn.XLOOKUP(C3,Tb_FUNÇÕES[RESUMO - FUNÇÕES],Tb_FUNÇÕES[SALÁRIO BASE],"",0,1)</calculatedColumnFormula>
    </tableColumn>
    <tableColumn id="7" xr3:uid="{C173A498-A58C-4823-BD2F-412B4756745C}" name="SALÁRIO+PER" dataDxfId="54" totalsRowDxfId="53" dataCellStyle="Moeda">
      <calculatedColumnFormula>IF(tb_Custo[[#This Row],[TOMADOR]]="UTGC",tb_Custo[[#This Row],[SALÁRIO BASE]]*1.3,tb_Custo[[#This Row],[SALÁRIO BASE]])</calculatedColumnFormula>
    </tableColumn>
    <tableColumn id="8" xr3:uid="{11D89DD0-7D49-4452-80C8-CBC9F7886889}" name="ALIMENTAÇÃO" dataDxfId="52" totalsRowDxfId="51" dataCellStyle="Moeda"/>
    <tableColumn id="9" xr3:uid="{4FE4AAF6-187F-453F-9A49-32A76715D23F}" name="TRANSPORTE" dataDxfId="50" totalsRowDxfId="49" dataCellStyle="Moeda"/>
    <tableColumn id="10" xr3:uid="{0C0D9159-2A63-4FE1-BEBE-541F9C5C69DA}" name="PLANOS SAÚDE+ODONTO" dataDxfId="48" totalsRowDxfId="47" dataCellStyle="Moeda"/>
    <tableColumn id="11" xr3:uid="{C0BDE3B8-BEF9-4CE0-8F4F-4770619403EA}" name="SEGURO DE VIDA" dataDxfId="46" totalsRowDxfId="45" dataCellStyle="Moeda" totalsRowCellStyle="Moeda"/>
    <tableColumn id="15" xr3:uid="{04B24E26-CCE8-420E-AB02-1A8FC3AEA191}" name="AJUDA DE CUSTO" dataDxfId="44" totalsRowDxfId="43" dataCellStyle="Moeda"/>
    <tableColumn id="12" xr3:uid="{C5881A33-3A9E-458A-988A-AC3B48DEA38A}" name="ENCARGOS TRABALHISTAS" dataDxfId="42" totalsRowDxfId="41">
      <calculatedColumnFormula>tb_Custo[[#This Row],[SALÁRIO+PER]]*0.8</calculatedColumnFormula>
    </tableColumn>
    <tableColumn id="13" xr3:uid="{178CCE04-0BF7-403E-A409-02BB248561FC}" name="TOTAL INDIVIDUAL" totalsRowFunction="sum" dataDxfId="40" totalsRowDxfId="39">
      <calculatedColumnFormula>SUM(tb_Custo[[#This Row],[SALÁRIO+PER]:[ENCARGOS TRABALHISTAS]])</calculatedColumnFormula>
    </tableColumn>
    <tableColumn id="16" xr3:uid="{68A1058B-503B-4112-8283-122BBAE0B127}" name="CUSTO HH" dataDxfId="38" dataCellStyle="Moeda">
      <calculatedColumnFormula>tb_Custo[[#This Row],[TOTAL INDIVIDUAL]]/$P$1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C142D2-D2ED-470C-98DF-C0499A0F3074}" name="tb_SUB" displayName="tb_SUB" ref="A3:L26" totalsRowShown="0" headerRowDxfId="37" dataDxfId="36" tableBorderDxfId="35">
  <autoFilter ref="A3:L26" xr:uid="{824E485D-F7E7-4B0C-B517-477778A13FC8}"/>
  <tableColumns count="12">
    <tableColumn id="1" xr3:uid="{D17F9BFA-2DF7-4AA4-AAF6-63223B322673}" name="TOMADOR" dataDxfId="34"/>
    <tableColumn id="2" xr3:uid="{6A393BF3-D793-4FA1-A474-E1626D08200F}" name="SINDICATO" dataDxfId="33"/>
    <tableColumn id="3" xr3:uid="{E14FE6F4-2A2F-4C46-8D3F-4B065E8B90DB}" name="NOME COMPLETO" dataDxfId="32"/>
    <tableColumn id="4" xr3:uid="{3B03C963-E78D-4017-8EEE-8E99AEC9EDBF}" name="FUNÇÃO" dataDxfId="31"/>
    <tableColumn id="5" xr3:uid="{EF264270-D628-40D1-9826-A945C8923846}" name="SALARIO BASE" dataDxfId="30" dataCellStyle="Moeda"/>
    <tableColumn id="6" xr3:uid="{D9901535-8D1F-4D3E-818B-50AAF8DE0E99}" name="ID FUNCIONÁRIO" dataDxfId="29" dataCellStyle="Moeda"/>
    <tableColumn id="7" xr3:uid="{C0E6CBC7-372E-485B-8882-64CD7478A4FA}" name="EMPRESA" dataDxfId="28"/>
    <tableColumn id="8" xr3:uid="{D9520571-F757-40A1-A6E7-288633402578}" name="ADMISSÃO" dataDxfId="27"/>
    <tableColumn id="9" xr3:uid="{5C0EA3D1-0A31-4978-B60C-D0D93134FC22}" name="NASCIMENTO" dataDxfId="26"/>
    <tableColumn id="10" xr3:uid="{DEA8D4E8-A799-48B0-990B-B8CA7D423CF3}" name="CPF" dataDxfId="25"/>
    <tableColumn id="11" xr3:uid="{D0D81199-8FD0-48DC-9029-E7618CA672FF}" name="DEMISSÃO" dataDxfId="24"/>
    <tableColumn id="12" xr3:uid="{C331BA31-A84F-4EC3-9436-DAF42870B2AD}" name="SITUAÇÃO" dataDxfId="23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197655-66BA-4A8E-9D06-650BD24C1C8B}" name="Tb_EMAILGESTAO" displayName="Tb_EMAILGESTAO" ref="A4:E24" totalsRowShown="0" headerRowDxfId="22" dataDxfId="20" headerRowBorderDxfId="21" tableBorderDxfId="19">
  <autoFilter ref="A4:E24" xr:uid="{625FDFE0-4666-4332-A059-B3560D0BD2A3}"/>
  <sortState xmlns:xlrd2="http://schemas.microsoft.com/office/spreadsheetml/2017/richdata2" ref="A5:E24">
    <sortCondition ref="C22:C24"/>
  </sortState>
  <tableColumns count="5">
    <tableColumn id="1" xr3:uid="{00BFF0FE-FCED-4589-A4A7-C7D7BDF14CA6}" name="SETOR" dataDxfId="18"/>
    <tableColumn id="2" xr3:uid="{4411B65A-2C89-429E-B11B-A523A3EA79F1}" name="TOMADOR" dataDxfId="17"/>
    <tableColumn id="3" xr3:uid="{AC1D33A2-FC6A-4F78-BFE1-FDEAFE08F703}" name="NOME" dataDxfId="16"/>
    <tableColumn id="4" xr3:uid="{4D82867B-294E-4A07-A170-358F6962DEBA}" name="FUNÇÃO" dataDxfId="15"/>
    <tableColumn id="9" xr3:uid="{008D166B-39BC-4D8F-A2AA-BA514DD8D4E6}" name="EMAIL" dataDxfId="14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F1B271-5BE9-481B-BFE5-560FA753DE10}" name="Tb_FUNÇÕES" displayName="Tb_FUNÇÕES" ref="A1:B34" totalsRowShown="0" headerRowDxfId="13" dataDxfId="12" headerRowCellStyle="Ênfase2">
  <autoFilter ref="A1:B34" xr:uid="{ACF1B271-5BE9-481B-BFE5-560FA753DE10}"/>
  <sortState xmlns:xlrd2="http://schemas.microsoft.com/office/spreadsheetml/2017/richdata2" ref="A2:B34">
    <sortCondition ref="A1:A34"/>
  </sortState>
  <tableColumns count="2">
    <tableColumn id="1" xr3:uid="{0F0F2C5E-7B13-4D6B-9F6D-C79CEB94CE48}" name="RESUMO - FUNÇÕES" dataDxfId="11"/>
    <tableColumn id="2" xr3:uid="{B4AD6FBD-3D64-4F60-8477-F55F6972BDAF}" name="SALÁRIO BASE" dataDxfId="10" dataCellStyle="Moeda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9FCBF2C-64BA-4D24-9C39-90601DB02DCC}" name="Tabela5" displayName="Tabela5" ref="J1:N3" totalsRowShown="0" headerRowDxfId="9" dataDxfId="8" headerRowCellStyle="Ênfase2">
  <autoFilter ref="J1:N3" xr:uid="{79FCBF2C-64BA-4D24-9C39-90601DB02DCC}"/>
  <tableColumns count="5">
    <tableColumn id="1" xr3:uid="{86060598-2749-4D2B-952F-89E6A82E728E}" name="TOMADOR"/>
    <tableColumn id="2" xr3:uid="{AB930BF1-9FE7-4E64-9577-4A4F630656AB}" name="MOD" dataDxfId="7">
      <calculatedColumnFormula>COUNTIFS(Tb_EFETIVO[TOMADOR],AUX!J2,Tb_EFETIVO[SITUAÇÃO],"ATIVO",Tb_EFETIVO[TIPO],AUX!K1)</calculatedColumnFormula>
    </tableColumn>
    <tableColumn id="3" xr3:uid="{9F76E8F3-D13B-4C15-90DD-FA7BC4811B87}" name="MOI" dataDxfId="6">
      <calculatedColumnFormula>COUNTIFS(Tb_EFETIVO[TOMADOR],AUX!J2,Tb_EFETIVO[SITUAÇÃO],"ATIVO",Tb_EFETIVO[TIPO],AUX!L1)</calculatedColumnFormula>
    </tableColumn>
    <tableColumn id="4" xr3:uid="{0CF14EC4-5D7D-4E91-A332-2AEF388B1B11}" name="SUB" dataDxfId="5">
      <calculatedColumnFormula>COUNTIFS(tb_SUB[TOMADOR],AUX!J2,tb_SUB[DEMISSÃO],"ATIVO")</calculatedColumnFormula>
    </tableColumn>
    <tableColumn id="5" xr3:uid="{86AFFB8A-6266-41C1-AB56-F4B943E34189}" name="TOTAL" dataDxfId="4">
      <calculatedColumnFormula>SUM(K2:M2)</calculatedColumnFormula>
    </tableColumn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445C89-D73F-4095-B344-8821743BDAA0}" name="Tb_feriadoUTGC" displayName="Tb_feriadoUTGC" ref="D1:E36" totalsRowShown="0" tableBorderDxfId="3">
  <autoFilter ref="D1:E36" xr:uid="{43445C89-D73F-4095-B344-8821743BDAA0}"/>
  <tableColumns count="2">
    <tableColumn id="1" xr3:uid="{64FA20D1-83FB-4FAD-A37D-9CF6CF4449FD}" name="DIA" dataDxfId="2"/>
    <tableColumn id="2" xr3:uid="{6850921E-61EB-408E-A2FD-350BC007EAFC}" name="FERIADO UTGC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CED2E4-B050-4FE1-9F8B-FBD8C1CDF3F0}" name="Tb_feriadoEDIVIT" displayName="Tb_feriadoEDIVIT" ref="G1:H34" totalsRowShown="0" tableBorderDxfId="1">
  <autoFilter ref="G1:H34" xr:uid="{D4CED2E4-B050-4FE1-9F8B-FBD8C1CDF3F0}"/>
  <tableColumns count="2">
    <tableColumn id="1" xr3:uid="{75949C71-263A-42BC-8199-1341DE93B098}" name="DIA" dataDxfId="0"/>
    <tableColumn id="2" xr3:uid="{230C0B3B-FE49-475D-ADFD-E6FC0472408A}" name="FERIADO EDIVI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microsoft.com/office/2007/relationships/slicer" Target="../slicers/slicer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CD8A8-0618-467E-8D5A-8B719F251138}">
  <dimension ref="A1:Q1070"/>
  <sheetViews>
    <sheetView showGridLines="0" topLeftCell="B1" zoomScale="70" zoomScaleNormal="70" workbookViewId="0">
      <pane ySplit="5" topLeftCell="A80" activePane="bottomLeft" state="frozen"/>
      <selection activeCell="B881" activeCellId="2" sqref="B870 B877:B879 B881"/>
      <selection pane="bottomLeft" activeCell="D26" sqref="D26"/>
    </sheetView>
  </sheetViews>
  <sheetFormatPr defaultColWidth="8.88671875" defaultRowHeight="14.4" zeroHeight="1" x14ac:dyDescent="0.3"/>
  <cols>
    <col min="1" max="1" width="15.21875" style="75" hidden="1" customWidth="1"/>
    <col min="2" max="2" width="14.44140625" style="73" bestFit="1" customWidth="1"/>
    <col min="3" max="3" width="14.88671875" style="73" bestFit="1" customWidth="1"/>
    <col min="4" max="4" width="42.33203125" style="73" customWidth="1"/>
    <col min="5" max="5" width="34.5546875" style="73" bestFit="1" customWidth="1"/>
    <col min="6" max="6" width="18.5546875" style="73" bestFit="1" customWidth="1"/>
    <col min="7" max="7" width="17.88671875" style="73" bestFit="1" customWidth="1"/>
    <col min="8" max="8" width="14.44140625" style="73" bestFit="1" customWidth="1"/>
    <col min="9" max="9" width="11.44140625" style="73" bestFit="1" customWidth="1"/>
    <col min="10" max="10" width="15.109375" style="73" bestFit="1" customWidth="1"/>
    <col min="11" max="11" width="17.44140625" style="73" bestFit="1" customWidth="1"/>
    <col min="12" max="12" width="16.21875" style="73" customWidth="1"/>
    <col min="13" max="13" width="16.109375" style="73" bestFit="1" customWidth="1"/>
    <col min="14" max="14" width="14.44140625" style="73" customWidth="1"/>
    <col min="15" max="15" width="1.5546875" style="73" customWidth="1"/>
    <col min="16" max="16384" width="8.88671875" style="73"/>
  </cols>
  <sheetData>
    <row r="1" spans="1:17" ht="29.4" thickBot="1" x14ac:dyDescent="0.35">
      <c r="B1" s="160" t="s">
        <v>267</v>
      </c>
      <c r="C1" s="161"/>
      <c r="D1" s="161"/>
      <c r="E1" s="161"/>
      <c r="F1" s="162"/>
      <c r="G1" s="71" t="s">
        <v>324</v>
      </c>
      <c r="H1" s="71" t="s">
        <v>325</v>
      </c>
      <c r="I1" s="71"/>
      <c r="J1" s="71"/>
      <c r="K1" s="71"/>
      <c r="L1" s="71"/>
      <c r="M1" s="71"/>
      <c r="N1" s="166" t="s">
        <v>352</v>
      </c>
    </row>
    <row r="2" spans="1:17" ht="52.95" customHeight="1" thickBot="1" x14ac:dyDescent="0.35">
      <c r="A2" s="41"/>
      <c r="B2" s="163"/>
      <c r="C2" s="164"/>
      <c r="D2" s="164"/>
      <c r="E2" s="164"/>
      <c r="F2" s="165"/>
      <c r="G2" s="78">
        <v>7</v>
      </c>
      <c r="H2" s="102">
        <f ca="1">1-G2/F4</f>
        <v>0.91249999999999998</v>
      </c>
      <c r="I2" s="103"/>
      <c r="J2" s="78"/>
      <c r="K2" s="78"/>
      <c r="L2" s="78"/>
      <c r="M2" s="101"/>
      <c r="N2" s="167"/>
      <c r="P2" s="37" t="s">
        <v>257</v>
      </c>
      <c r="Q2" s="37" t="s">
        <v>256</v>
      </c>
    </row>
    <row r="3" spans="1:17" ht="36" customHeight="1" x14ac:dyDescent="0.3">
      <c r="A3" s="74"/>
      <c r="B3" s="1"/>
      <c r="C3" s="6"/>
      <c r="D3" s="6"/>
      <c r="E3" s="6"/>
      <c r="F3" s="77" t="s">
        <v>7</v>
      </c>
      <c r="G3" s="71" t="s">
        <v>8</v>
      </c>
      <c r="H3" s="71" t="s">
        <v>9</v>
      </c>
      <c r="I3" s="71" t="s">
        <v>16</v>
      </c>
      <c r="J3" s="71" t="s">
        <v>266</v>
      </c>
      <c r="K3" s="71" t="s">
        <v>28</v>
      </c>
      <c r="L3" s="71" t="s">
        <v>29</v>
      </c>
      <c r="M3" s="71" t="s">
        <v>258</v>
      </c>
      <c r="N3" s="72" t="s">
        <v>255</v>
      </c>
      <c r="P3" s="38" cm="1">
        <f t="array" aca="1" ref="P3" ca="1">SUMPRODUCT(SUBTOTAL(9,OFFSET(A6,ROW(Tb_EFETIVO[CONTADOR])-ROW(A6),0)),(Tb_EFETIVO[TIPO]="MOI")+0,((Tb_EFETIVO[SITUAÇÃO]="ATIVO")+(Tb_EFETIVO[SITUAÇÃO]="AFASTADO")+(Tb_EFETIVO[SITUAÇÃO]="FÉRIAS")+(Tb_EFETIVO[SITUAÇÃO]="SERVIÇO MILITAR")+(Tb_EFETIVO[SITUAÇÃO]="DESMOBILIZAÇÃO"))+0)</f>
        <v>25</v>
      </c>
      <c r="Q3" s="38" cm="1">
        <f t="array" aca="1" ref="Q3" ca="1">SUMPRODUCT(SUBTOTAL(9,OFFSET(A6,ROW(A6:A108)-ROW(A6),0)),(I6:I108="MOD")+0,((N6:N108="ATIVO")+(N6:N108="AFASTADO")+(N6:N108="FÉRIAS")+(N6:N108="SERVIÇO MILITAR")+(N6:N108="DESMOBILIZAÇÃO"))+0)</f>
        <v>55</v>
      </c>
    </row>
    <row r="4" spans="1:17" ht="27.9" customHeight="1" thickBot="1" x14ac:dyDescent="0.35">
      <c r="A4" s="74"/>
      <c r="B4" s="1"/>
      <c r="C4" s="6"/>
      <c r="D4" s="6"/>
      <c r="E4" s="6"/>
      <c r="F4" s="76">
        <f ca="1">I4+K4+L4</f>
        <v>80</v>
      </c>
      <c r="G4" s="78" t="str">
        <f ca="1">IFERROR(P3&amp;" ("&amp;TEXT(ROUND(P4,2),"0%")&amp;")","")</f>
        <v>25 (31%)</v>
      </c>
      <c r="H4" s="78" t="str">
        <f ca="1">IFERROR(Q3&amp;" ("&amp;TEXT(ROUND(Q4,2),"0%")&amp;")","")</f>
        <v>55 (69%)</v>
      </c>
      <c r="I4" s="78" cm="1">
        <f t="array" aca="1" ref="I4" ca="1">SUMPRODUCT(SUBTOTAL(9,OFFSET(A6,ROW(A6:A108)-ROW(A6),0)),(N6:N108="ATIVO")+0)</f>
        <v>80</v>
      </c>
      <c r="J4" s="78" cm="1">
        <f t="array" aca="1" ref="J4" ca="1">SUMPRODUCT(SUBTOTAL(9,OFFSET(A6,ROW(A6:A108)-ROW(A6),0)),(N6:N108="INATIVO")+0)</f>
        <v>0</v>
      </c>
      <c r="K4" s="78" cm="1">
        <f t="array" aca="1" ref="K4" ca="1">SUMPRODUCT(SUBTOTAL(9,OFFSET(A6,ROW(A6:A108)-ROW(A6),0)),(N6:N108="FÉRIAS")+0)</f>
        <v>0</v>
      </c>
      <c r="L4" s="78" cm="1">
        <f t="array" aca="1" ref="L4" ca="1">SUMPRODUCT(SUBTOTAL(9,OFFSET(A6,ROW(A6:A108)-ROW(A6),0)),(N6:N108="AFASTADO")+0)</f>
        <v>0</v>
      </c>
      <c r="M4" s="78">
        <f ca="1">I4+J4</f>
        <v>80</v>
      </c>
      <c r="N4" s="79" cm="1">
        <f t="array" aca="1" ref="N4" ca="1">SUMPRODUCT((SUBTOTAL(103,OFFSET(A6,ROW(Tb_EFETIVO[CONTADOR])-ROW(A6),0))*Tb_EFETIVO[SALÁRIO BASE])) / SUMPRODUCT(SUBTOTAL(103,OFFSET(A6,ROW(Tb_EFETIVO[CONTADOR])-ROW(A6),0)))</f>
        <v>4315.2851250000003</v>
      </c>
      <c r="P4" s="39">
        <f ca="1">P3/F4</f>
        <v>0.3125</v>
      </c>
      <c r="Q4" s="39">
        <f ca="1">Q3/F4</f>
        <v>0.6875</v>
      </c>
    </row>
    <row r="5" spans="1:17" ht="24.9" customHeight="1" x14ac:dyDescent="0.3">
      <c r="A5" s="66" t="s">
        <v>17</v>
      </c>
      <c r="B5" s="67" t="s">
        <v>15</v>
      </c>
      <c r="C5" s="80" t="s">
        <v>280</v>
      </c>
      <c r="D5" s="68" t="s">
        <v>163</v>
      </c>
      <c r="E5" s="68" t="s">
        <v>1</v>
      </c>
      <c r="F5" s="68" t="s">
        <v>265</v>
      </c>
      <c r="G5" s="68" t="s">
        <v>264</v>
      </c>
      <c r="H5" s="68" t="s">
        <v>378</v>
      </c>
      <c r="I5" s="68" t="s">
        <v>18</v>
      </c>
      <c r="J5" s="68" t="s">
        <v>3</v>
      </c>
      <c r="K5" s="68" t="s">
        <v>80</v>
      </c>
      <c r="L5" s="69" t="s">
        <v>81</v>
      </c>
      <c r="M5" s="68" t="s">
        <v>11</v>
      </c>
      <c r="N5" s="70" t="s">
        <v>13</v>
      </c>
    </row>
    <row r="6" spans="1:17" ht="15" hidden="1" customHeight="1" x14ac:dyDescent="0.3">
      <c r="A6" s="49">
        <f>IF(Tb_EFETIVO[[#This Row],[TOMADOR]]="",0,1)</f>
        <v>1</v>
      </c>
      <c r="B6" s="50" t="s">
        <v>31</v>
      </c>
      <c r="C6" s="50" t="str">
        <f t="shared" ref="C6" si="0">IF(B6="UTGC","SINTRACON",IF(B6="EDIVIT","SINTRACONST",""))</f>
        <v>SINTRACONST</v>
      </c>
      <c r="D6" s="50" t="s">
        <v>172</v>
      </c>
      <c r="E6" s="50" t="s">
        <v>126</v>
      </c>
      <c r="F6" s="51">
        <f>_xlfn.XLOOKUP(Tb_EFETIVO[[#This Row],[FUNÇÃO]],Tb_FUNÇÕES[RESUMO - FUNÇÕES],Tb_FUNÇÕES[SALÁRIO BASE],0,0,1)</f>
        <v>3218.17</v>
      </c>
      <c r="G6" s="51">
        <f>IF(Tb_EFETIVO[[#This Row],[TOMADOR]]="UTGC",Tb_EFETIVO[[#This Row],[SALÁRIO BASE]]*1.3,Tb_EFETIVO[[#This Row],[SALÁRIO BASE]])</f>
        <v>3218.17</v>
      </c>
      <c r="H6" s="52">
        <v>72849101</v>
      </c>
      <c r="I6" s="52" t="s">
        <v>9</v>
      </c>
      <c r="J6" s="53">
        <v>45952</v>
      </c>
      <c r="K6" s="53">
        <v>24192</v>
      </c>
      <c r="L6" s="54">
        <v>86150634787</v>
      </c>
      <c r="M6" s="53">
        <v>46036</v>
      </c>
      <c r="N6" s="55" t="str">
        <f>IF(Tb_EFETIVO[[#This Row],[DEMISSÃO]]="","ATIVO","INATIVO")</f>
        <v>INATIVO</v>
      </c>
    </row>
    <row r="7" spans="1:17" ht="15" customHeight="1" x14ac:dyDescent="0.3">
      <c r="A7" s="62">
        <f>IF(Tb_EFETIVO[[#This Row],[TOMADOR]]="",0,1)</f>
        <v>1</v>
      </c>
      <c r="B7" s="57" t="s">
        <v>31</v>
      </c>
      <c r="C7" s="57" t="str">
        <f t="shared" ref="C7" si="1">IF(B7="UTGC","SINTRACON",IF(B7="EDIVIT","SINTRACONST",""))</f>
        <v>SINTRACONST</v>
      </c>
      <c r="D7" s="57" t="s">
        <v>353</v>
      </c>
      <c r="E7" s="57" t="s">
        <v>71</v>
      </c>
      <c r="F7" s="58">
        <v>6525.36</v>
      </c>
      <c r="G7" s="58">
        <f>IF(Tb_EFETIVO[[#This Row],[TOMADOR]]="UTGC",Tb_EFETIVO[[#This Row],[SALÁRIO BASE]]*1.3,Tb_EFETIVO[[#This Row],[SALÁRIO BASE]])</f>
        <v>6525.36</v>
      </c>
      <c r="H7" s="59">
        <v>72206513</v>
      </c>
      <c r="I7" s="59" t="s">
        <v>8</v>
      </c>
      <c r="J7" s="60">
        <v>46090</v>
      </c>
      <c r="K7" s="60">
        <v>34882</v>
      </c>
      <c r="L7" s="40" t="s">
        <v>354</v>
      </c>
      <c r="M7" s="60"/>
      <c r="N7" s="61" t="str">
        <f>IF(Tb_EFETIVO[[#This Row],[DEMISSÃO]]="","ATIVO","INATIVO")</f>
        <v>ATIVO</v>
      </c>
    </row>
    <row r="8" spans="1:17" ht="15" customHeight="1" x14ac:dyDescent="0.3">
      <c r="A8" s="62">
        <f>IF(Tb_EFETIVO[[#This Row],[TOMADOR]]="",0,1)</f>
        <v>1</v>
      </c>
      <c r="B8" s="57" t="s">
        <v>30</v>
      </c>
      <c r="C8" s="57" t="str">
        <f t="shared" ref="C8:C39" si="2">IF(B8="UTGC","SINTRACON",IF(B8="EDIVIT","SINTRACONST",""))</f>
        <v>SINTRACON</v>
      </c>
      <c r="D8" s="57" t="s">
        <v>355</v>
      </c>
      <c r="E8" s="57" t="s">
        <v>139</v>
      </c>
      <c r="F8" s="58">
        <v>3494.9</v>
      </c>
      <c r="G8" s="58">
        <f>IF(Tb_EFETIVO[[#This Row],[TOMADOR]]="UTGC",Tb_EFETIVO[[#This Row],[SALÁRIO BASE]]*1.3,Tb_EFETIVO[[#This Row],[SALÁRIO BASE]])</f>
        <v>4543.37</v>
      </c>
      <c r="H8" s="59">
        <v>71740945</v>
      </c>
      <c r="I8" s="59" t="s">
        <v>9</v>
      </c>
      <c r="J8" s="60">
        <v>46090</v>
      </c>
      <c r="K8" s="60">
        <v>35756</v>
      </c>
      <c r="L8" s="40" t="s">
        <v>356</v>
      </c>
      <c r="M8" s="60"/>
      <c r="N8" s="61" t="str">
        <f>IF(Tb_EFETIVO[[#This Row],[DEMISSÃO]]="","ATIVO","INATIVO")</f>
        <v>ATIVO</v>
      </c>
    </row>
    <row r="9" spans="1:17" ht="15" hidden="1" customHeight="1" x14ac:dyDescent="0.3">
      <c r="A9" s="56">
        <f>IF(Tb_EFETIVO[[#This Row],[TOMADOR]]="",0,1)</f>
        <v>1</v>
      </c>
      <c r="B9" s="57" t="s">
        <v>30</v>
      </c>
      <c r="C9" s="57" t="str">
        <f t="shared" si="2"/>
        <v>SINTRACON</v>
      </c>
      <c r="D9" s="57" t="s">
        <v>136</v>
      </c>
      <c r="E9" s="57" t="s">
        <v>123</v>
      </c>
      <c r="F9" s="58">
        <f>_xlfn.XLOOKUP(Tb_EFETIVO[[#This Row],[FUNÇÃO]],Tb_FUNÇÕES[RESUMO - FUNÇÕES],Tb_FUNÇÕES[SALÁRIO BASE],0,0,1)</f>
        <v>3847.53</v>
      </c>
      <c r="G9" s="58">
        <f>IF(Tb_EFETIVO[[#This Row],[TOMADOR]]="UTGC",Tb_EFETIVO[[#This Row],[SALÁRIO BASE]]*1.3,Tb_EFETIVO[[#This Row],[SALÁRIO BASE]])</f>
        <v>5001.7890000000007</v>
      </c>
      <c r="H9" s="59">
        <v>42320998</v>
      </c>
      <c r="I9" s="59" t="s">
        <v>9</v>
      </c>
      <c r="J9" s="60">
        <v>45943</v>
      </c>
      <c r="K9" s="60">
        <v>30878</v>
      </c>
      <c r="L9" s="40" t="s">
        <v>157</v>
      </c>
      <c r="M9" s="60">
        <v>46086</v>
      </c>
      <c r="N9" s="61" t="str">
        <f>IF(Tb_EFETIVO[[#This Row],[DEMISSÃO]]="","ATIVO","INATIVO")</f>
        <v>INATIVO</v>
      </c>
    </row>
    <row r="10" spans="1:17" ht="15" hidden="1" customHeight="1" x14ac:dyDescent="0.3">
      <c r="A10" s="62">
        <f>IF(Tb_EFETIVO[[#This Row],[TOMADOR]]="",0,1)</f>
        <v>1</v>
      </c>
      <c r="B10" s="57" t="s">
        <v>31</v>
      </c>
      <c r="C10" s="57" t="str">
        <f t="shared" si="2"/>
        <v>SINTRACONST</v>
      </c>
      <c r="D10" s="57" t="s">
        <v>32</v>
      </c>
      <c r="E10" s="57" t="s">
        <v>68</v>
      </c>
      <c r="F10" s="58">
        <f>_xlfn.XLOOKUP(Tb_EFETIVO[[#This Row],[FUNÇÃO]],Tb_FUNÇÕES[RESUMO - FUNÇÕES],Tb_FUNÇÕES[SALÁRIO BASE],0,0,1)</f>
        <v>4425.3</v>
      </c>
      <c r="G10" s="58">
        <f>IF(Tb_EFETIVO[[#This Row],[TOMADOR]]="UTGC",Tb_EFETIVO[[#This Row],[SALÁRIO BASE]]*1.3,Tb_EFETIVO[[#This Row],[SALÁRIO BASE]])</f>
        <v>4425.3</v>
      </c>
      <c r="H10" s="59">
        <v>72810882</v>
      </c>
      <c r="I10" s="59" t="s">
        <v>8</v>
      </c>
      <c r="J10" s="60">
        <v>45918</v>
      </c>
      <c r="K10" s="60">
        <v>34921</v>
      </c>
      <c r="L10" s="40" t="s">
        <v>82</v>
      </c>
      <c r="M10" s="60">
        <v>46013</v>
      </c>
      <c r="N10" s="61" t="str">
        <f>IF(Tb_EFETIVO[[#This Row],[DEMISSÃO]]="","ATIVO","INATIVO")</f>
        <v>INATIVO</v>
      </c>
    </row>
    <row r="11" spans="1:17" ht="15" hidden="1" customHeight="1" x14ac:dyDescent="0.3">
      <c r="A11" s="56">
        <f>IF(Tb_EFETIVO[[#This Row],[TOMADOR]]="",0,1)</f>
        <v>1</v>
      </c>
      <c r="B11" s="57" t="s">
        <v>31</v>
      </c>
      <c r="C11" s="57" t="str">
        <f t="shared" si="2"/>
        <v>SINTRACONST</v>
      </c>
      <c r="D11" s="57" t="s">
        <v>170</v>
      </c>
      <c r="E11" s="57" t="s">
        <v>126</v>
      </c>
      <c r="F11" s="58">
        <f>_xlfn.XLOOKUP(Tb_EFETIVO[[#This Row],[FUNÇÃO]],Tb_FUNÇÕES[RESUMO - FUNÇÕES],Tb_FUNÇÕES[SALÁRIO BASE],0,0,1)</f>
        <v>3218.17</v>
      </c>
      <c r="G11" s="58">
        <f>IF(Tb_EFETIVO[[#This Row],[TOMADOR]]="UTGC",Tb_EFETIVO[[#This Row],[SALÁRIO BASE]]*1.3,Tb_EFETIVO[[#This Row],[SALÁRIO BASE]])</f>
        <v>3218.17</v>
      </c>
      <c r="H11" s="59">
        <v>43982181</v>
      </c>
      <c r="I11" s="59" t="s">
        <v>9</v>
      </c>
      <c r="J11" s="60">
        <v>45952</v>
      </c>
      <c r="K11" s="60">
        <v>23522</v>
      </c>
      <c r="L11" s="40">
        <v>31332650597</v>
      </c>
      <c r="M11" s="60">
        <v>46036</v>
      </c>
      <c r="N11" s="61" t="str">
        <f>IF(Tb_EFETIVO[[#This Row],[DEMISSÃO]]="","ATIVO","INATIVO")</f>
        <v>INATIVO</v>
      </c>
    </row>
    <row r="12" spans="1:17" ht="15" customHeight="1" x14ac:dyDescent="0.3">
      <c r="A12" s="56">
        <f>IF(Tb_EFETIVO[[#This Row],[TOMADOR]]="",0,1)</f>
        <v>1</v>
      </c>
      <c r="B12" s="57" t="s">
        <v>30</v>
      </c>
      <c r="C12" s="57" t="str">
        <f t="shared" si="2"/>
        <v>SINTRACON</v>
      </c>
      <c r="D12" s="57" t="s">
        <v>194</v>
      </c>
      <c r="E12" s="63" t="s">
        <v>127</v>
      </c>
      <c r="F12" s="58">
        <f>_xlfn.XLOOKUP(Tb_EFETIVO[[#This Row],[FUNÇÃO]],Tb_FUNÇÕES[RESUMO - FUNÇÕES],Tb_FUNÇÕES[SALÁRIO BASE],0,0,1)</f>
        <v>4402.45</v>
      </c>
      <c r="G12" s="58">
        <f>IF(Tb_EFETIVO[[#This Row],[TOMADOR]]="UTGC",Tb_EFETIVO[[#This Row],[SALÁRIO BASE]]*1.3,Tb_EFETIVO[[#This Row],[SALÁRIO BASE]])</f>
        <v>5723.1850000000004</v>
      </c>
      <c r="H12" s="59">
        <v>41917596</v>
      </c>
      <c r="I12" s="59" t="s">
        <v>9</v>
      </c>
      <c r="J12" s="60">
        <v>45967</v>
      </c>
      <c r="K12" s="60">
        <v>32443</v>
      </c>
      <c r="L12" s="40" t="s">
        <v>204</v>
      </c>
      <c r="M12" s="60"/>
      <c r="N12" s="61" t="str">
        <f>IF(Tb_EFETIVO[[#This Row],[DEMISSÃO]]="","ATIVO","INATIVO")</f>
        <v>ATIVO</v>
      </c>
    </row>
    <row r="13" spans="1:17" ht="15" customHeight="1" x14ac:dyDescent="0.3">
      <c r="A13" s="84">
        <f>IF(Tb_EFETIVO[[#This Row],[TOMADOR]]="",0,1)</f>
        <v>1</v>
      </c>
      <c r="B13" s="85" t="s">
        <v>30</v>
      </c>
      <c r="C13" s="57" t="str">
        <f t="shared" si="2"/>
        <v>SINTRACON</v>
      </c>
      <c r="D13" s="85" t="s">
        <v>307</v>
      </c>
      <c r="E13" s="85" t="s">
        <v>123</v>
      </c>
      <c r="F13" s="58">
        <v>3847.53</v>
      </c>
      <c r="G13" s="58">
        <f>IF(Tb_EFETIVO[[#This Row],[TOMADOR]]="UTGC",Tb_EFETIVO[[#This Row],[SALÁRIO BASE]]*1.3,Tb_EFETIVO[[#This Row],[SALÁRIO BASE]])</f>
        <v>5001.7890000000007</v>
      </c>
      <c r="H13" s="59">
        <v>71642061</v>
      </c>
      <c r="I13" s="59" t="s">
        <v>9</v>
      </c>
      <c r="J13" s="60">
        <v>46062</v>
      </c>
      <c r="K13" s="60">
        <v>36284</v>
      </c>
      <c r="L13" s="40">
        <v>18033541784</v>
      </c>
      <c r="M13" s="60"/>
      <c r="N13" s="61" t="str">
        <f>IF(Tb_EFETIVO[[#This Row],[DEMISSÃO]]="","ATIVO","INATIVO")</f>
        <v>ATIVO</v>
      </c>
    </row>
    <row r="14" spans="1:17" ht="15" customHeight="1" x14ac:dyDescent="0.3">
      <c r="A14" s="56">
        <f>IF(Tb_EFETIVO[[#This Row],[TOMADOR]]="",0,1)</f>
        <v>1</v>
      </c>
      <c r="B14" s="57" t="s">
        <v>30</v>
      </c>
      <c r="C14" s="57" t="str">
        <f t="shared" si="2"/>
        <v>SINTRACON</v>
      </c>
      <c r="D14" s="57" t="s">
        <v>173</v>
      </c>
      <c r="E14" s="63" t="s">
        <v>139</v>
      </c>
      <c r="F14" s="58">
        <f>_xlfn.XLOOKUP(Tb_EFETIVO[[#This Row],[FUNÇÃO]],Tb_FUNÇÕES[RESUMO - FUNÇÕES],Tb_FUNÇÕES[SALÁRIO BASE],0,0,1)</f>
        <v>3494.9</v>
      </c>
      <c r="G14" s="58">
        <f>IF(Tb_EFETIVO[[#This Row],[TOMADOR]]="UTGC",Tb_EFETIVO[[#This Row],[SALÁRIO BASE]]*1.3,Tb_EFETIVO[[#This Row],[SALÁRIO BASE]])</f>
        <v>4543.37</v>
      </c>
      <c r="H14" s="59">
        <v>72401331</v>
      </c>
      <c r="I14" s="59" t="s">
        <v>9</v>
      </c>
      <c r="J14" s="60">
        <v>45950</v>
      </c>
      <c r="K14" s="60">
        <v>37464</v>
      </c>
      <c r="L14" s="40" t="s">
        <v>175</v>
      </c>
      <c r="M14" s="60"/>
      <c r="N14" s="61" t="str">
        <f>IF(Tb_EFETIVO[[#This Row],[DEMISSÃO]]="","ATIVO","INATIVO")</f>
        <v>ATIVO</v>
      </c>
    </row>
    <row r="15" spans="1:17" ht="15" customHeight="1" x14ac:dyDescent="0.3">
      <c r="A15" s="62">
        <f>IF(Tb_EFETIVO[[#This Row],[TOMADOR]]="",0,1)</f>
        <v>1</v>
      </c>
      <c r="B15" s="57" t="s">
        <v>31</v>
      </c>
      <c r="C15" s="57" t="str">
        <f t="shared" si="2"/>
        <v>SINTRACONST</v>
      </c>
      <c r="D15" s="57" t="s">
        <v>33</v>
      </c>
      <c r="E15" s="63" t="s">
        <v>68</v>
      </c>
      <c r="F15" s="58">
        <f>_xlfn.XLOOKUP(Tb_EFETIVO[[#This Row],[FUNÇÃO]],Tb_FUNÇÕES[RESUMO - FUNÇÕES],Tb_FUNÇÕES[SALÁRIO BASE],0,0,1)</f>
        <v>4425.3</v>
      </c>
      <c r="G15" s="58">
        <f>IF(Tb_EFETIVO[[#This Row],[TOMADOR]]="UTGC",Tb_EFETIVO[[#This Row],[SALÁRIO BASE]]*1.3,Tb_EFETIVO[[#This Row],[SALÁRIO BASE]])</f>
        <v>4425.3</v>
      </c>
      <c r="H15" s="59">
        <v>72375610</v>
      </c>
      <c r="I15" s="59" t="s">
        <v>8</v>
      </c>
      <c r="J15" s="60">
        <v>45922</v>
      </c>
      <c r="K15" s="60">
        <v>32438</v>
      </c>
      <c r="L15" s="40" t="s">
        <v>83</v>
      </c>
      <c r="M15" s="60"/>
      <c r="N15" s="61" t="str">
        <f>IF(Tb_EFETIVO[[#This Row],[DEMISSÃO]]="","ATIVO","INATIVO")</f>
        <v>ATIVO</v>
      </c>
    </row>
    <row r="16" spans="1:17" ht="15" customHeight="1" x14ac:dyDescent="0.3">
      <c r="A16" s="56">
        <f>IF(Tb_EFETIVO[[#This Row],[TOMADOR]]="",0,1)</f>
        <v>1</v>
      </c>
      <c r="B16" s="57" t="s">
        <v>30</v>
      </c>
      <c r="C16" s="57" t="str">
        <f t="shared" si="2"/>
        <v>SINTRACON</v>
      </c>
      <c r="D16" s="57" t="s">
        <v>137</v>
      </c>
      <c r="E16" s="63" t="s">
        <v>380</v>
      </c>
      <c r="F16" s="58">
        <f>_xlfn.XLOOKUP(Tb_EFETIVO[[#This Row],[FUNÇÃO]],Tb_FUNÇÕES[RESUMO - FUNÇÕES],Tb_FUNÇÕES[SALÁRIO BASE],0,0,1)</f>
        <v>1726.63</v>
      </c>
      <c r="G16" s="58">
        <f>IF(Tb_EFETIVO[[#This Row],[TOMADOR]]="UTGC",Tb_EFETIVO[[#This Row],[SALÁRIO BASE]]*1.3,Tb_EFETIVO[[#This Row],[SALÁRIO BASE]])</f>
        <v>2244.6190000000001</v>
      </c>
      <c r="H16" s="59">
        <v>72070771</v>
      </c>
      <c r="I16" s="59" t="s">
        <v>9</v>
      </c>
      <c r="J16" s="60">
        <v>45943</v>
      </c>
      <c r="K16" s="60">
        <v>38415</v>
      </c>
      <c r="L16" s="40" t="s">
        <v>148</v>
      </c>
      <c r="M16" s="60"/>
      <c r="N16" s="61" t="str">
        <f>IF(Tb_EFETIVO[[#This Row],[DEMISSÃO]]="","ATIVO","INATIVO")</f>
        <v>ATIVO</v>
      </c>
    </row>
    <row r="17" spans="1:14" ht="15" customHeight="1" x14ac:dyDescent="0.3">
      <c r="A17" s="62">
        <f>IF(Tb_EFETIVO[[#This Row],[TOMADOR]]="",0,1)</f>
        <v>1</v>
      </c>
      <c r="B17" s="57" t="s">
        <v>31</v>
      </c>
      <c r="C17" s="57" t="str">
        <f t="shared" si="2"/>
        <v>SINTRACONST</v>
      </c>
      <c r="D17" s="57" t="s">
        <v>272</v>
      </c>
      <c r="E17" s="63" t="s">
        <v>125</v>
      </c>
      <c r="F17" s="58">
        <f>_xlfn.XLOOKUP(Tb_EFETIVO[[#This Row],[FUNÇÃO]],Tb_FUNÇÕES[RESUMO - FUNÇÕES],Tb_FUNÇÕES[SALÁRIO BASE],0,0,1)</f>
        <v>3328.48</v>
      </c>
      <c r="G17" s="58">
        <f>IF(Tb_EFETIVO[[#This Row],[TOMADOR]]="UTGC",Tb_EFETIVO[[#This Row],[SALÁRIO BASE]]*1.3,Tb_EFETIVO[[#This Row],[SALÁRIO BASE]])</f>
        <v>3328.48</v>
      </c>
      <c r="H17" s="59">
        <v>72899847</v>
      </c>
      <c r="I17" s="59" t="s">
        <v>9</v>
      </c>
      <c r="J17" s="60">
        <v>45992</v>
      </c>
      <c r="K17" s="60">
        <v>37060</v>
      </c>
      <c r="L17" s="40" t="s">
        <v>277</v>
      </c>
      <c r="M17" s="60"/>
      <c r="N17" s="61" t="str">
        <f>IF(Tb_EFETIVO[[#This Row],[DEMISSÃO]]="","ATIVO","INATIVO")</f>
        <v>ATIVO</v>
      </c>
    </row>
    <row r="18" spans="1:14" ht="15" hidden="1" customHeight="1" x14ac:dyDescent="0.3">
      <c r="A18" s="56">
        <f>IF(Tb_EFETIVO[[#This Row],[TOMADOR]]="",0,1)</f>
        <v>1</v>
      </c>
      <c r="B18" s="57" t="s">
        <v>31</v>
      </c>
      <c r="C18" s="57" t="str">
        <f t="shared" si="2"/>
        <v>SINTRACONST</v>
      </c>
      <c r="D18" s="57" t="s">
        <v>165</v>
      </c>
      <c r="E18" s="63" t="s">
        <v>127</v>
      </c>
      <c r="F18" s="58">
        <f>_xlfn.XLOOKUP(Tb_EFETIVO[[#This Row],[FUNÇÃO]],Tb_FUNÇÕES[RESUMO - FUNÇÕES],Tb_FUNÇÕES[SALÁRIO BASE],0,0,1)</f>
        <v>4402.45</v>
      </c>
      <c r="G18" s="58">
        <f>IF(Tb_EFETIVO[[#This Row],[TOMADOR]]="UTGC",Tb_EFETIVO[[#This Row],[SALÁRIO BASE]]*1.3,Tb_EFETIVO[[#This Row],[SALÁRIO BASE]])</f>
        <v>4402.45</v>
      </c>
      <c r="H18" s="59">
        <v>72849094</v>
      </c>
      <c r="I18" s="59" t="s">
        <v>9</v>
      </c>
      <c r="J18" s="60">
        <v>45952</v>
      </c>
      <c r="K18" s="60">
        <v>31136</v>
      </c>
      <c r="L18" s="40">
        <v>9731561714</v>
      </c>
      <c r="M18" s="60">
        <v>45966</v>
      </c>
      <c r="N18" s="61" t="str">
        <f>IF(Tb_EFETIVO[[#This Row],[DEMISSÃO]]="","ATIVO","INATIVO")</f>
        <v>INATIVO</v>
      </c>
    </row>
    <row r="19" spans="1:14" ht="15" hidden="1" customHeight="1" x14ac:dyDescent="0.3">
      <c r="A19" s="62">
        <f>IF(Tb_EFETIVO[[#This Row],[TOMADOR]]="",0,1)</f>
        <v>1</v>
      </c>
      <c r="B19" s="57" t="s">
        <v>31</v>
      </c>
      <c r="C19" s="57" t="str">
        <f t="shared" si="2"/>
        <v>SINTRACONST</v>
      </c>
      <c r="D19" s="57" t="s">
        <v>271</v>
      </c>
      <c r="E19" s="63" t="s">
        <v>124</v>
      </c>
      <c r="F19" s="58">
        <f>_xlfn.XLOOKUP(Tb_EFETIVO[[#This Row],[FUNÇÃO]],Tb_FUNÇÕES[RESUMO - FUNÇÕES],Tb_FUNÇÕES[SALÁRIO BASE],0,0,1)</f>
        <v>1726.63</v>
      </c>
      <c r="G19" s="58">
        <f>IF(Tb_EFETIVO[[#This Row],[TOMADOR]]="UTGC",Tb_EFETIVO[[#This Row],[SALÁRIO BASE]]*1.3,Tb_EFETIVO[[#This Row],[SALÁRIO BASE]])</f>
        <v>1726.63</v>
      </c>
      <c r="H19" s="59">
        <v>72899779</v>
      </c>
      <c r="I19" s="59" t="s">
        <v>9</v>
      </c>
      <c r="J19" s="60">
        <v>45992</v>
      </c>
      <c r="K19" s="60">
        <v>29543</v>
      </c>
      <c r="L19" s="40" t="s">
        <v>276</v>
      </c>
      <c r="M19" s="60">
        <v>46083</v>
      </c>
      <c r="N19" s="61" t="str">
        <f>IF(Tb_EFETIVO[[#This Row],[DEMISSÃO]]="","ATIVO","INATIVO")</f>
        <v>INATIVO</v>
      </c>
    </row>
    <row r="20" spans="1:14" ht="15" hidden="1" customHeight="1" x14ac:dyDescent="0.3">
      <c r="A20" s="56">
        <f>IF(Tb_EFETIVO[[#This Row],[TOMADOR]]="",0,1)</f>
        <v>1</v>
      </c>
      <c r="B20" s="57" t="s">
        <v>30</v>
      </c>
      <c r="C20" s="57" t="str">
        <f t="shared" si="2"/>
        <v>SINTRACON</v>
      </c>
      <c r="D20" s="57" t="s">
        <v>201</v>
      </c>
      <c r="E20" s="63" t="s">
        <v>124</v>
      </c>
      <c r="F20" s="58">
        <f>_xlfn.XLOOKUP(Tb_EFETIVO[[#This Row],[FUNÇÃO]],Tb_FUNÇÕES[RESUMO - FUNÇÕES],Tb_FUNÇÕES[SALÁRIO BASE],0,0,1)</f>
        <v>1726.63</v>
      </c>
      <c r="G20" s="58">
        <f>IF(Tb_EFETIVO[[#This Row],[TOMADOR]]="UTGC",Tb_EFETIVO[[#This Row],[SALÁRIO BASE]]*1.3,Tb_EFETIVO[[#This Row],[SALÁRIO BASE]])</f>
        <v>2244.6190000000001</v>
      </c>
      <c r="H20" s="59">
        <v>72253077</v>
      </c>
      <c r="I20" s="59" t="s">
        <v>9</v>
      </c>
      <c r="J20" s="60">
        <v>45967</v>
      </c>
      <c r="K20" s="60">
        <v>36555</v>
      </c>
      <c r="L20" s="40" t="s">
        <v>212</v>
      </c>
      <c r="M20" s="60">
        <v>46036</v>
      </c>
      <c r="N20" s="61" t="str">
        <f>IF(Tb_EFETIVO[[#This Row],[DEMISSÃO]]="","ATIVO","INATIVO")</f>
        <v>INATIVO</v>
      </c>
    </row>
    <row r="21" spans="1:14" ht="15" customHeight="1" x14ac:dyDescent="0.3">
      <c r="A21" s="56">
        <f>IF(Tb_EFETIVO[[#This Row],[TOMADOR]]="",0,1)</f>
        <v>1</v>
      </c>
      <c r="B21" s="57" t="s">
        <v>31</v>
      </c>
      <c r="C21" s="57" t="str">
        <f t="shared" si="2"/>
        <v>SINTRACONST</v>
      </c>
      <c r="D21" s="57" t="s">
        <v>34</v>
      </c>
      <c r="E21" s="63" t="s">
        <v>74</v>
      </c>
      <c r="F21" s="58">
        <f>_xlfn.XLOOKUP(Tb_EFETIVO[[#This Row],[FUNÇÃO]],Tb_FUNÇÕES[RESUMO - FUNÇÕES],Tb_FUNÇÕES[SALÁRIO BASE],0,0,1)</f>
        <v>3000</v>
      </c>
      <c r="G21" s="58">
        <f>IF(Tb_EFETIVO[[#This Row],[TOMADOR]]="UTGC",Tb_EFETIVO[[#This Row],[SALÁRIO BASE]]*1.3,Tb_EFETIVO[[#This Row],[SALÁRIO BASE]])</f>
        <v>3000</v>
      </c>
      <c r="H21" s="59">
        <v>72533874</v>
      </c>
      <c r="I21" s="59" t="s">
        <v>8</v>
      </c>
      <c r="J21" s="60">
        <v>45917</v>
      </c>
      <c r="K21" s="60">
        <v>36840</v>
      </c>
      <c r="L21" s="40" t="s">
        <v>84</v>
      </c>
      <c r="M21" s="60"/>
      <c r="N21" s="61" t="str">
        <f>IF(Tb_EFETIVO[[#This Row],[DEMISSÃO]]="","ATIVO","INATIVO")</f>
        <v>ATIVO</v>
      </c>
    </row>
    <row r="22" spans="1:14" ht="15" customHeight="1" x14ac:dyDescent="0.3">
      <c r="A22" s="62">
        <f>IF(Tb_EFETIVO[[#This Row],[TOMADOR]]="",0,1)</f>
        <v>1</v>
      </c>
      <c r="B22" s="57" t="s">
        <v>30</v>
      </c>
      <c r="C22" s="57" t="str">
        <f t="shared" si="2"/>
        <v>SINTRACON</v>
      </c>
      <c r="D22" s="57" t="s">
        <v>138</v>
      </c>
      <c r="E22" s="63" t="s">
        <v>126</v>
      </c>
      <c r="F22" s="58">
        <f>_xlfn.XLOOKUP(Tb_EFETIVO[[#This Row],[FUNÇÃO]],Tb_FUNÇÕES[RESUMO - FUNÇÕES],Tb_FUNÇÕES[SALÁRIO BASE],0,0,1)</f>
        <v>3218.17</v>
      </c>
      <c r="G22" s="58">
        <f>IF(Tb_EFETIVO[[#This Row],[TOMADOR]]="UTGC",Tb_EFETIVO[[#This Row],[SALÁRIO BASE]]*1.3,Tb_EFETIVO[[#This Row],[SALÁRIO BASE]])</f>
        <v>4183.6210000000001</v>
      </c>
      <c r="H22" s="59">
        <v>71787090</v>
      </c>
      <c r="I22" s="59" t="s">
        <v>9</v>
      </c>
      <c r="J22" s="60">
        <v>45943</v>
      </c>
      <c r="K22" s="60">
        <v>35504</v>
      </c>
      <c r="L22" s="40" t="s">
        <v>149</v>
      </c>
      <c r="M22" s="60"/>
      <c r="N22" s="61" t="str">
        <f>IF(Tb_EFETIVO[[#This Row],[DEMISSÃO]]="","ATIVO","INATIVO")</f>
        <v>ATIVO</v>
      </c>
    </row>
    <row r="23" spans="1:14" ht="15" customHeight="1" x14ac:dyDescent="0.3">
      <c r="A23" s="56">
        <f>IF(Tb_EFETIVO[[#This Row],[TOMADOR]]="",0,1)</f>
        <v>1</v>
      </c>
      <c r="B23" s="57" t="s">
        <v>30</v>
      </c>
      <c r="C23" s="57" t="str">
        <f t="shared" si="2"/>
        <v>SINTRACON</v>
      </c>
      <c r="D23" s="57" t="s">
        <v>48</v>
      </c>
      <c r="E23" s="63" t="s">
        <v>123</v>
      </c>
      <c r="F23" s="58">
        <f>_xlfn.XLOOKUP(Tb_EFETIVO[[#This Row],[FUNÇÃO]],Tb_FUNÇÕES[RESUMO - FUNÇÕES],Tb_FUNÇÕES[SALÁRIO BASE],0,0,1)</f>
        <v>3847.53</v>
      </c>
      <c r="G23" s="58">
        <f>IF(Tb_EFETIVO[[#This Row],[TOMADOR]]="UTGC",Tb_EFETIVO[[#This Row],[SALÁRIO BASE]]*1.3,Tb_EFETIVO[[#This Row],[SALÁRIO BASE]])</f>
        <v>5001.7890000000007</v>
      </c>
      <c r="H23" s="59">
        <v>43788046</v>
      </c>
      <c r="I23" s="59" t="s">
        <v>9</v>
      </c>
      <c r="J23" s="60">
        <v>45931</v>
      </c>
      <c r="K23" s="60">
        <v>32563</v>
      </c>
      <c r="L23" s="40" t="s">
        <v>104</v>
      </c>
      <c r="M23" s="60"/>
      <c r="N23" s="61" t="str">
        <f>IF(Tb_EFETIVO[[#This Row],[DEMISSÃO]]="","ATIVO","INATIVO")</f>
        <v>ATIVO</v>
      </c>
    </row>
    <row r="24" spans="1:14" ht="15" hidden="1" customHeight="1" x14ac:dyDescent="0.3">
      <c r="A24" s="56">
        <f>IF(Tb_EFETIVO[[#This Row],[TOMADOR]]="",0,1)</f>
        <v>1</v>
      </c>
      <c r="B24" s="57" t="s">
        <v>31</v>
      </c>
      <c r="C24" s="57" t="str">
        <f t="shared" si="2"/>
        <v>SINTRACONST</v>
      </c>
      <c r="D24" s="57" t="s">
        <v>35</v>
      </c>
      <c r="E24" s="63" t="s">
        <v>71</v>
      </c>
      <c r="F24" s="58">
        <f>_xlfn.XLOOKUP(Tb_EFETIVO[[#This Row],[FUNÇÃO]],Tb_FUNÇÕES[RESUMO - FUNÇÕES],Tb_FUNÇÕES[SALÁRIO BASE],0,0,1)</f>
        <v>6525.36</v>
      </c>
      <c r="G24" s="58">
        <f>IF(Tb_EFETIVO[[#This Row],[TOMADOR]]="UTGC",Tb_EFETIVO[[#This Row],[SALÁRIO BASE]]*1.3,Tb_EFETIVO[[#This Row],[SALÁRIO BASE]])</f>
        <v>6525.36</v>
      </c>
      <c r="H24" s="59">
        <v>72825975</v>
      </c>
      <c r="I24" s="59" t="s">
        <v>8</v>
      </c>
      <c r="J24" s="60">
        <v>45922</v>
      </c>
      <c r="K24" s="60">
        <v>24456</v>
      </c>
      <c r="L24" s="40" t="s">
        <v>85</v>
      </c>
      <c r="M24" s="60">
        <v>46093</v>
      </c>
      <c r="N24" s="61" t="str">
        <f>IF(Tb_EFETIVO[[#This Row],[DEMISSÃO]]="","ATIVO","INATIVO")</f>
        <v>INATIVO</v>
      </c>
    </row>
    <row r="25" spans="1:14" ht="15" customHeight="1" x14ac:dyDescent="0.3">
      <c r="A25" s="56">
        <f>IF(Tb_EFETIVO[[#This Row],[TOMADOR]]="",0,1)</f>
        <v>1</v>
      </c>
      <c r="B25" s="57" t="s">
        <v>30</v>
      </c>
      <c r="C25" s="57" t="str">
        <f t="shared" si="2"/>
        <v>SINTRACON</v>
      </c>
      <c r="D25" s="57" t="s">
        <v>199</v>
      </c>
      <c r="E25" s="63" t="s">
        <v>380</v>
      </c>
      <c r="F25" s="58">
        <f>_xlfn.XLOOKUP(Tb_EFETIVO[[#This Row],[FUNÇÃO]],Tb_FUNÇÕES[RESUMO - FUNÇÕES],Tb_FUNÇÕES[SALÁRIO BASE],0,0,1)</f>
        <v>1726.63</v>
      </c>
      <c r="G25" s="58">
        <f>IF(Tb_EFETIVO[[#This Row],[TOMADOR]]="UTGC",Tb_EFETIVO[[#This Row],[SALÁRIO BASE]]*1.3,Tb_EFETIVO[[#This Row],[SALÁRIO BASE]])</f>
        <v>2244.6190000000001</v>
      </c>
      <c r="H25" s="59">
        <v>72253077</v>
      </c>
      <c r="I25" s="59" t="s">
        <v>9</v>
      </c>
      <c r="J25" s="60">
        <v>45967</v>
      </c>
      <c r="K25" s="60">
        <v>36693</v>
      </c>
      <c r="L25" s="40" t="s">
        <v>210</v>
      </c>
      <c r="M25" s="60"/>
      <c r="N25" s="61" t="str">
        <f>IF(Tb_EFETIVO[[#This Row],[DEMISSÃO]]="","ATIVO","INATIVO")</f>
        <v>ATIVO</v>
      </c>
    </row>
    <row r="26" spans="1:14" ht="15" customHeight="1" x14ac:dyDescent="0.3">
      <c r="A26" s="62">
        <f>IF(Tb_EFETIVO[[#This Row],[TOMADOR]]="",0,1)</f>
        <v>1</v>
      </c>
      <c r="B26" s="57" t="s">
        <v>30</v>
      </c>
      <c r="C26" s="57" t="str">
        <f t="shared" si="2"/>
        <v>SINTRACON</v>
      </c>
      <c r="D26" s="57" t="s">
        <v>222</v>
      </c>
      <c r="E26" s="63" t="s">
        <v>139</v>
      </c>
      <c r="F26" s="58">
        <f>_xlfn.XLOOKUP(Tb_EFETIVO[[#This Row],[FUNÇÃO]],Tb_FUNÇÕES[RESUMO - FUNÇÕES],Tb_FUNÇÕES[SALÁRIO BASE],0,0,1)</f>
        <v>3494.9</v>
      </c>
      <c r="G26" s="58">
        <f>IF(Tb_EFETIVO[[#This Row],[TOMADOR]]="UTGC",Tb_EFETIVO[[#This Row],[SALÁRIO BASE]]*1.3,Tb_EFETIVO[[#This Row],[SALÁRIO BASE]])</f>
        <v>4543.37</v>
      </c>
      <c r="H26" s="59">
        <v>71742188</v>
      </c>
      <c r="I26" s="59" t="s">
        <v>9</v>
      </c>
      <c r="J26" s="60">
        <v>45978</v>
      </c>
      <c r="K26" s="60">
        <v>35037</v>
      </c>
      <c r="L26" s="40" t="s">
        <v>223</v>
      </c>
      <c r="M26" s="60"/>
      <c r="N26" s="61" t="str">
        <f>IF(Tb_EFETIVO[[#This Row],[DEMISSÃO]]="","ATIVO","INATIVO")</f>
        <v>ATIVO</v>
      </c>
    </row>
    <row r="27" spans="1:14" ht="15" customHeight="1" x14ac:dyDescent="0.3">
      <c r="A27" s="56">
        <f>IF(Tb_EFETIVO[[#This Row],[TOMADOR]]="",0,1)</f>
        <v>1</v>
      </c>
      <c r="B27" s="57" t="s">
        <v>31</v>
      </c>
      <c r="C27" s="57" t="str">
        <f t="shared" si="2"/>
        <v>SINTRACONST</v>
      </c>
      <c r="D27" s="57" t="s">
        <v>36</v>
      </c>
      <c r="E27" s="63" t="s">
        <v>5</v>
      </c>
      <c r="F27" s="58">
        <f>_xlfn.XLOOKUP(Tb_EFETIVO[[#This Row],[FUNÇÃO]],Tb_FUNÇÕES[RESUMO - FUNÇÕES],Tb_FUNÇÕES[SALÁRIO BASE],0,0,1)</f>
        <v>3800</v>
      </c>
      <c r="G27" s="58">
        <f>IF(Tb_EFETIVO[[#This Row],[TOMADOR]]="UTGC",Tb_EFETIVO[[#This Row],[SALÁRIO BASE]]*1.3,Tb_EFETIVO[[#This Row],[SALÁRIO BASE]])</f>
        <v>3800</v>
      </c>
      <c r="H27" s="59">
        <v>72176910</v>
      </c>
      <c r="I27" s="59" t="s">
        <v>8</v>
      </c>
      <c r="J27" s="60">
        <v>45910</v>
      </c>
      <c r="K27" s="60">
        <v>35831</v>
      </c>
      <c r="L27" s="40" t="s">
        <v>86</v>
      </c>
      <c r="M27" s="60"/>
      <c r="N27" s="61" t="str">
        <f>IF(Tb_EFETIVO[[#This Row],[DEMISSÃO]]="","ATIVO","INATIVO")</f>
        <v>ATIVO</v>
      </c>
    </row>
    <row r="28" spans="1:14" ht="15" hidden="1" customHeight="1" x14ac:dyDescent="0.3">
      <c r="A28" s="62">
        <f>IF(Tb_EFETIVO[[#This Row],[TOMADOR]]="",0,1)</f>
        <v>1</v>
      </c>
      <c r="B28" s="57" t="s">
        <v>30</v>
      </c>
      <c r="C28" s="57" t="str">
        <f t="shared" si="2"/>
        <v>SINTRACON</v>
      </c>
      <c r="D28" s="57" t="s">
        <v>228</v>
      </c>
      <c r="E28" s="63" t="s">
        <v>124</v>
      </c>
      <c r="F28" s="58">
        <f>_xlfn.XLOOKUP(Tb_EFETIVO[[#This Row],[FUNÇÃO]],Tb_FUNÇÕES[RESUMO - FUNÇÕES],Tb_FUNÇÕES[SALÁRIO BASE],0,0,1)</f>
        <v>1726.63</v>
      </c>
      <c r="G28" s="58">
        <f>IF(Tb_EFETIVO[[#This Row],[TOMADOR]]="UTGC",Tb_EFETIVO[[#This Row],[SALÁRIO BASE]]*1.3,Tb_EFETIVO[[#This Row],[SALÁRIO BASE]])</f>
        <v>2244.6190000000001</v>
      </c>
      <c r="H28" s="59">
        <v>72397720</v>
      </c>
      <c r="I28" s="59" t="s">
        <v>9</v>
      </c>
      <c r="J28" s="60">
        <v>45967</v>
      </c>
      <c r="K28" s="60">
        <v>35404</v>
      </c>
      <c r="L28" s="40" t="s">
        <v>208</v>
      </c>
      <c r="M28" s="60">
        <v>46003</v>
      </c>
      <c r="N28" s="61" t="str">
        <f>IF(Tb_EFETIVO[[#This Row],[DEMISSÃO]]="","ATIVO","INATIVO")</f>
        <v>INATIVO</v>
      </c>
    </row>
    <row r="29" spans="1:14" x14ac:dyDescent="0.3">
      <c r="A29" s="84">
        <f>IF(Tb_EFETIVO[[#This Row],[TOMADOR]]="",0,1)</f>
        <v>1</v>
      </c>
      <c r="B29" s="85" t="s">
        <v>30</v>
      </c>
      <c r="C29" s="57" t="str">
        <f t="shared" si="2"/>
        <v>SINTRACON</v>
      </c>
      <c r="D29" s="85" t="s">
        <v>308</v>
      </c>
      <c r="E29" s="85" t="s">
        <v>126</v>
      </c>
      <c r="F29" s="58">
        <v>3218.17</v>
      </c>
      <c r="G29" s="58">
        <f>IF(Tb_EFETIVO[[#This Row],[TOMADOR]]="UTGC",Tb_EFETIVO[[#This Row],[SALÁRIO BASE]]*1.3,Tb_EFETIVO[[#This Row],[SALÁRIO BASE]])</f>
        <v>4183.6210000000001</v>
      </c>
      <c r="H29" s="59">
        <v>43367701</v>
      </c>
      <c r="I29" s="59" t="s">
        <v>9</v>
      </c>
      <c r="J29" s="60">
        <v>46062</v>
      </c>
      <c r="K29" s="60">
        <v>31245</v>
      </c>
      <c r="L29" s="40" t="s">
        <v>323</v>
      </c>
      <c r="M29" s="60"/>
      <c r="N29" s="61" t="str">
        <f>IF(Tb_EFETIVO[[#This Row],[DEMISSÃO]]="","ATIVO","INATIVO")</f>
        <v>ATIVO</v>
      </c>
    </row>
    <row r="30" spans="1:14" hidden="1" x14ac:dyDescent="0.3">
      <c r="A30" s="56">
        <f>IF(Tb_EFETIVO[[#This Row],[TOMADOR]]="",0,1)</f>
        <v>1</v>
      </c>
      <c r="B30" s="57" t="s">
        <v>30</v>
      </c>
      <c r="C30" s="57" t="str">
        <f t="shared" si="2"/>
        <v>SINTRACON</v>
      </c>
      <c r="D30" s="57" t="s">
        <v>200</v>
      </c>
      <c r="E30" s="63" t="s">
        <v>124</v>
      </c>
      <c r="F30" s="58">
        <f>_xlfn.XLOOKUP(Tb_EFETIVO[[#This Row],[FUNÇÃO]],Tb_FUNÇÕES[RESUMO - FUNÇÕES],Tb_FUNÇÕES[SALÁRIO BASE],0,0,1)</f>
        <v>1726.63</v>
      </c>
      <c r="G30" s="58">
        <f>IF(Tb_EFETIVO[[#This Row],[TOMADOR]]="UTGC",Tb_EFETIVO[[#This Row],[SALÁRIO BASE]]*1.3,Tb_EFETIVO[[#This Row],[SALÁRIO BASE]])</f>
        <v>2244.6190000000001</v>
      </c>
      <c r="H30" s="59">
        <v>72870958</v>
      </c>
      <c r="I30" s="59" t="s">
        <v>9</v>
      </c>
      <c r="J30" s="60">
        <v>45967</v>
      </c>
      <c r="K30" s="60">
        <v>38995</v>
      </c>
      <c r="L30" s="40" t="s">
        <v>211</v>
      </c>
      <c r="M30" s="60">
        <v>46029</v>
      </c>
      <c r="N30" s="61" t="str">
        <f>IF(Tb_EFETIVO[[#This Row],[DEMISSÃO]]="","ATIVO","INATIVO")</f>
        <v>INATIVO</v>
      </c>
    </row>
    <row r="31" spans="1:14" x14ac:dyDescent="0.3">
      <c r="A31" s="84">
        <f>IF(Tb_EFETIVO[[#This Row],[TOMADOR]]="",0,1)</f>
        <v>1</v>
      </c>
      <c r="B31" s="85" t="s">
        <v>30</v>
      </c>
      <c r="C31" s="57" t="str">
        <f t="shared" si="2"/>
        <v>SINTRACON</v>
      </c>
      <c r="D31" s="85" t="s">
        <v>309</v>
      </c>
      <c r="E31" s="85" t="s">
        <v>127</v>
      </c>
      <c r="F31" s="58">
        <v>4402.45</v>
      </c>
      <c r="G31" s="58">
        <f>IF(Tb_EFETIVO[[#This Row],[TOMADOR]]="UTGC",Tb_EFETIVO[[#This Row],[SALÁRIO BASE]]*1.3,Tb_EFETIVO[[#This Row],[SALÁRIO BASE]])</f>
        <v>5723.1850000000004</v>
      </c>
      <c r="H31" s="59">
        <v>40480704</v>
      </c>
      <c r="I31" s="59" t="s">
        <v>9</v>
      </c>
      <c r="J31" s="60">
        <v>46062</v>
      </c>
      <c r="K31" s="60">
        <v>29997</v>
      </c>
      <c r="L31" s="40" t="s">
        <v>322</v>
      </c>
      <c r="M31" s="60"/>
      <c r="N31" s="61" t="str">
        <f>IF(Tb_EFETIVO[[#This Row],[DEMISSÃO]]="","ATIVO","INATIVO")</f>
        <v>ATIVO</v>
      </c>
    </row>
    <row r="32" spans="1:14" x14ac:dyDescent="0.3">
      <c r="A32" s="56">
        <f>IF(Tb_EFETIVO[[#This Row],[TOMADOR]]="",0,1)</f>
        <v>1</v>
      </c>
      <c r="B32" s="57" t="s">
        <v>31</v>
      </c>
      <c r="C32" s="57" t="str">
        <f t="shared" si="2"/>
        <v>SINTRACONST</v>
      </c>
      <c r="D32" s="57" t="s">
        <v>37</v>
      </c>
      <c r="E32" s="63" t="s">
        <v>67</v>
      </c>
      <c r="F32" s="58">
        <f>_xlfn.XLOOKUP(Tb_EFETIVO[[#This Row],[FUNÇÃO]],Tb_FUNÇÕES[RESUMO - FUNÇÕES],Tb_FUNÇÕES[SALÁRIO BASE],0,0,1)</f>
        <v>4425.3</v>
      </c>
      <c r="G32" s="58">
        <f>IF(Tb_EFETIVO[[#This Row],[TOMADOR]]="UTGC",Tb_EFETIVO[[#This Row],[SALÁRIO BASE]]*1.3,Tb_EFETIVO[[#This Row],[SALÁRIO BASE]])</f>
        <v>4425.3</v>
      </c>
      <c r="H32" s="59">
        <v>49732836</v>
      </c>
      <c r="I32" s="59" t="s">
        <v>8</v>
      </c>
      <c r="J32" s="60">
        <v>45919</v>
      </c>
      <c r="K32" s="60">
        <v>21969</v>
      </c>
      <c r="L32" s="40" t="s">
        <v>87</v>
      </c>
      <c r="M32" s="60"/>
      <c r="N32" s="61" t="str">
        <f>IF(Tb_EFETIVO[[#This Row],[DEMISSÃO]]="","ATIVO","INATIVO")</f>
        <v>ATIVO</v>
      </c>
    </row>
    <row r="33" spans="1:14" x14ac:dyDescent="0.3">
      <c r="A33" s="56">
        <f>IF(Tb_EFETIVO[[#This Row],[TOMADOR]]="",0,1)</f>
        <v>1</v>
      </c>
      <c r="B33" s="57" t="s">
        <v>30</v>
      </c>
      <c r="C33" s="57" t="str">
        <f t="shared" si="2"/>
        <v>SINTRACON</v>
      </c>
      <c r="D33" s="57" t="s">
        <v>202</v>
      </c>
      <c r="E33" s="63" t="s">
        <v>126</v>
      </c>
      <c r="F33" s="58">
        <f>_xlfn.XLOOKUP(Tb_EFETIVO[[#This Row],[FUNÇÃO]],Tb_FUNÇÕES[RESUMO - FUNÇÕES],Tb_FUNÇÕES[SALÁRIO BASE],0,0,1)</f>
        <v>3218.17</v>
      </c>
      <c r="G33" s="58">
        <f>IF(Tb_EFETIVO[[#This Row],[TOMADOR]]="UTGC",Tb_EFETIVO[[#This Row],[SALÁRIO BASE]]*1.3,Tb_EFETIVO[[#This Row],[SALÁRIO BASE]])</f>
        <v>4183.6210000000001</v>
      </c>
      <c r="H33" s="59">
        <v>42986890</v>
      </c>
      <c r="I33" s="59" t="s">
        <v>9</v>
      </c>
      <c r="J33" s="60">
        <v>45967</v>
      </c>
      <c r="K33" s="60">
        <v>24191</v>
      </c>
      <c r="L33" s="40" t="s">
        <v>213</v>
      </c>
      <c r="M33" s="60"/>
      <c r="N33" s="61" t="str">
        <f>IF(Tb_EFETIVO[[#This Row],[DEMISSÃO]]="","ATIVO","INATIVO")</f>
        <v>ATIVO</v>
      </c>
    </row>
    <row r="34" spans="1:14" x14ac:dyDescent="0.3">
      <c r="A34" s="62">
        <f>IF(Tb_EFETIVO[[#This Row],[TOMADOR]]="",0,1)</f>
        <v>1</v>
      </c>
      <c r="B34" s="57" t="s">
        <v>30</v>
      </c>
      <c r="C34" s="57" t="str">
        <f t="shared" si="2"/>
        <v>SINTRACON</v>
      </c>
      <c r="D34" s="57" t="s">
        <v>269</v>
      </c>
      <c r="E34" s="63" t="s">
        <v>125</v>
      </c>
      <c r="F34" s="58">
        <f>_xlfn.XLOOKUP(Tb_EFETIVO[[#This Row],[FUNÇÃO]],Tb_FUNÇÕES[RESUMO - FUNÇÕES],Tb_FUNÇÕES[SALÁRIO BASE],0,0,1)</f>
        <v>3328.48</v>
      </c>
      <c r="G34" s="58">
        <f>IF(Tb_EFETIVO[[#This Row],[TOMADOR]]="UTGC",Tb_EFETIVO[[#This Row],[SALÁRIO BASE]]*1.3,Tb_EFETIVO[[#This Row],[SALÁRIO BASE]])</f>
        <v>4327.0240000000003</v>
      </c>
      <c r="H34" s="59">
        <v>42060674</v>
      </c>
      <c r="I34" s="59" t="s">
        <v>9</v>
      </c>
      <c r="J34" s="60">
        <v>45992</v>
      </c>
      <c r="K34" s="60">
        <v>30443</v>
      </c>
      <c r="L34" s="40" t="s">
        <v>278</v>
      </c>
      <c r="M34" s="60"/>
      <c r="N34" s="61" t="str">
        <f>IF(Tb_EFETIVO[[#This Row],[DEMISSÃO]]="","ATIVO","INATIVO")</f>
        <v>ATIVO</v>
      </c>
    </row>
    <row r="35" spans="1:14" x14ac:dyDescent="0.3">
      <c r="A35" s="56">
        <f>IF(Tb_EFETIVO[[#This Row],[TOMADOR]]="",0,1)</f>
        <v>1</v>
      </c>
      <c r="B35" s="57" t="s">
        <v>30</v>
      </c>
      <c r="C35" s="57" t="str">
        <f t="shared" si="2"/>
        <v>SINTRACON</v>
      </c>
      <c r="D35" s="57" t="s">
        <v>203</v>
      </c>
      <c r="E35" s="63" t="s">
        <v>126</v>
      </c>
      <c r="F35" s="58">
        <f>_xlfn.XLOOKUP(Tb_EFETIVO[[#This Row],[FUNÇÃO]],Tb_FUNÇÕES[RESUMO - FUNÇÕES],Tb_FUNÇÕES[SALÁRIO BASE],0,0,1)</f>
        <v>3218.17</v>
      </c>
      <c r="G35" s="58">
        <f>IF(Tb_EFETIVO[[#This Row],[TOMADOR]]="UTGC",Tb_EFETIVO[[#This Row],[SALÁRIO BASE]]*1.3,Tb_EFETIVO[[#This Row],[SALÁRIO BASE]])</f>
        <v>4183.6210000000001</v>
      </c>
      <c r="H35" s="59">
        <v>48275334</v>
      </c>
      <c r="I35" s="59" t="s">
        <v>9</v>
      </c>
      <c r="J35" s="60">
        <v>45967</v>
      </c>
      <c r="K35" s="60">
        <v>28283</v>
      </c>
      <c r="L35" s="40" t="s">
        <v>214</v>
      </c>
      <c r="M35" s="60"/>
      <c r="N35" s="61" t="str">
        <f>IF(Tb_EFETIVO[[#This Row],[DEMISSÃO]]="","ATIVO","INATIVO")</f>
        <v>ATIVO</v>
      </c>
    </row>
    <row r="36" spans="1:14" x14ac:dyDescent="0.3">
      <c r="A36" s="56">
        <f>IF(Tb_EFETIVO[[#This Row],[TOMADOR]]="",0,1)</f>
        <v>1</v>
      </c>
      <c r="B36" s="57" t="s">
        <v>30</v>
      </c>
      <c r="C36" s="57" t="str">
        <f t="shared" si="2"/>
        <v>SINTRACON</v>
      </c>
      <c r="D36" s="57" t="s">
        <v>49</v>
      </c>
      <c r="E36" s="63" t="s">
        <v>123</v>
      </c>
      <c r="F36" s="58">
        <f>_xlfn.XLOOKUP(Tb_EFETIVO[[#This Row],[FUNÇÃO]],Tb_FUNÇÕES[RESUMO - FUNÇÕES],Tb_FUNÇÕES[SALÁRIO BASE],0,0,1)</f>
        <v>3847.53</v>
      </c>
      <c r="G36" s="58">
        <f>IF(Tb_EFETIVO[[#This Row],[TOMADOR]]="UTGC",Tb_EFETIVO[[#This Row],[SALÁRIO BASE]]*1.3,Tb_EFETIVO[[#This Row],[SALÁRIO BASE]])</f>
        <v>5001.7890000000007</v>
      </c>
      <c r="H36" s="59">
        <v>70724007</v>
      </c>
      <c r="I36" s="59" t="s">
        <v>9</v>
      </c>
      <c r="J36" s="60">
        <v>45931</v>
      </c>
      <c r="K36" s="60">
        <v>34446</v>
      </c>
      <c r="L36" s="40" t="s">
        <v>105</v>
      </c>
      <c r="M36" s="60"/>
      <c r="N36" s="61" t="str">
        <f>IF(Tb_EFETIVO[[#This Row],[DEMISSÃO]]="","ATIVO","INATIVO")</f>
        <v>ATIVO</v>
      </c>
    </row>
    <row r="37" spans="1:14" x14ac:dyDescent="0.3">
      <c r="A37" s="56">
        <f>IF(Tb_EFETIVO[[#This Row],[TOMADOR]]="",0,1)</f>
        <v>1</v>
      </c>
      <c r="B37" s="57" t="s">
        <v>31</v>
      </c>
      <c r="C37" s="57" t="str">
        <f t="shared" si="2"/>
        <v>SINTRACONST</v>
      </c>
      <c r="D37" s="57" t="s">
        <v>171</v>
      </c>
      <c r="E37" s="63" t="s">
        <v>124</v>
      </c>
      <c r="F37" s="58">
        <f>_xlfn.XLOOKUP(Tb_EFETIVO[[#This Row],[FUNÇÃO]],Tb_FUNÇÕES[RESUMO - FUNÇÕES],Tb_FUNÇÕES[SALÁRIO BASE],0,0,1)</f>
        <v>1726.63</v>
      </c>
      <c r="G37" s="58">
        <f>IF(Tb_EFETIVO[[#This Row],[TOMADOR]]="UTGC",Tb_EFETIVO[[#This Row],[SALÁRIO BASE]]*1.3,Tb_EFETIVO[[#This Row],[SALÁRIO BASE]])</f>
        <v>1726.63</v>
      </c>
      <c r="H37" s="59">
        <v>72533677</v>
      </c>
      <c r="I37" s="59" t="s">
        <v>9</v>
      </c>
      <c r="J37" s="60">
        <v>45952</v>
      </c>
      <c r="K37" s="60">
        <v>35709</v>
      </c>
      <c r="L37" s="40">
        <v>17617319711</v>
      </c>
      <c r="M37" s="60"/>
      <c r="N37" s="61" t="str">
        <f>IF(Tb_EFETIVO[[#This Row],[DEMISSÃO]]="","ATIVO","INATIVO")</f>
        <v>ATIVO</v>
      </c>
    </row>
    <row r="38" spans="1:14" x14ac:dyDescent="0.3">
      <c r="A38" s="56">
        <f>IF(Tb_EFETIVO[[#This Row],[TOMADOR]]="",0,1)</f>
        <v>1</v>
      </c>
      <c r="B38" s="57" t="s">
        <v>31</v>
      </c>
      <c r="C38" s="57" t="str">
        <f t="shared" si="2"/>
        <v>SINTRACONST</v>
      </c>
      <c r="D38" s="57" t="s">
        <v>62</v>
      </c>
      <c r="E38" s="63" t="s">
        <v>125</v>
      </c>
      <c r="F38" s="58">
        <f>_xlfn.XLOOKUP(Tb_EFETIVO[[#This Row],[FUNÇÃO]],Tb_FUNÇÕES[RESUMO - FUNÇÕES],Tb_FUNÇÕES[SALÁRIO BASE],0,0,1)</f>
        <v>3328.48</v>
      </c>
      <c r="G38" s="58">
        <f>IF(Tb_EFETIVO[[#This Row],[TOMADOR]]="UTGC",Tb_EFETIVO[[#This Row],[SALÁRIO BASE]]*1.3,Tb_EFETIVO[[#This Row],[SALÁRIO BASE]])</f>
        <v>3328.48</v>
      </c>
      <c r="H38" s="59">
        <v>72567750</v>
      </c>
      <c r="I38" s="59" t="s">
        <v>9</v>
      </c>
      <c r="J38" s="60">
        <v>45938</v>
      </c>
      <c r="K38" s="60">
        <v>35231</v>
      </c>
      <c r="L38" s="40" t="s">
        <v>118</v>
      </c>
      <c r="M38" s="60"/>
      <c r="N38" s="61" t="str">
        <f>IF(Tb_EFETIVO[[#This Row],[DEMISSÃO]]="","ATIVO","INATIVO")</f>
        <v>ATIVO</v>
      </c>
    </row>
    <row r="39" spans="1:14" x14ac:dyDescent="0.3">
      <c r="A39" s="62">
        <f>IF(Tb_EFETIVO[[#This Row],[TOMADOR]]="",0,1)</f>
        <v>1</v>
      </c>
      <c r="B39" s="57" t="s">
        <v>31</v>
      </c>
      <c r="C39" s="57" t="str">
        <f t="shared" si="2"/>
        <v>SINTRACONST</v>
      </c>
      <c r="D39" s="57" t="s">
        <v>270</v>
      </c>
      <c r="E39" s="63" t="s">
        <v>124</v>
      </c>
      <c r="F39" s="58">
        <f>_xlfn.XLOOKUP(Tb_EFETIVO[[#This Row],[FUNÇÃO]],Tb_FUNÇÕES[RESUMO - FUNÇÕES],Tb_FUNÇÕES[SALÁRIO BASE],0,0,1)</f>
        <v>1726.63</v>
      </c>
      <c r="G39" s="58">
        <f>IF(Tb_EFETIVO[[#This Row],[TOMADOR]]="UTGC",Tb_EFETIVO[[#This Row],[SALÁRIO BASE]]*1.3,Tb_EFETIVO[[#This Row],[SALÁRIO BASE]])</f>
        <v>1726.63</v>
      </c>
      <c r="H39" s="59">
        <v>72899903</v>
      </c>
      <c r="I39" s="59" t="s">
        <v>9</v>
      </c>
      <c r="J39" s="60">
        <v>45992</v>
      </c>
      <c r="K39" s="60">
        <v>37785</v>
      </c>
      <c r="L39" s="40" t="s">
        <v>275</v>
      </c>
      <c r="M39" s="60"/>
      <c r="N39" s="61" t="str">
        <f>IF(Tb_EFETIVO[[#This Row],[DEMISSÃO]]="","ATIVO","INATIVO")</f>
        <v>ATIVO</v>
      </c>
    </row>
    <row r="40" spans="1:14" x14ac:dyDescent="0.3">
      <c r="A40" s="56">
        <f>IF(Tb_EFETIVO[[#This Row],[TOMADOR]]="",0,1)</f>
        <v>1</v>
      </c>
      <c r="B40" s="57" t="s">
        <v>30</v>
      </c>
      <c r="C40" s="57" t="str">
        <f t="shared" ref="C40:C71" si="3">IF(B40="UTGC","SINTRACON",IF(B40="EDIVIT","SINTRACONST",""))</f>
        <v>SINTRACON</v>
      </c>
      <c r="D40" s="57" t="s">
        <v>140</v>
      </c>
      <c r="E40" s="63" t="s">
        <v>379</v>
      </c>
      <c r="F40" s="58">
        <f>_xlfn.XLOOKUP(Tb_EFETIVO[[#This Row],[FUNÇÃO]],Tb_FUNÇÕES[RESUMO - FUNÇÕES],Tb_FUNÇÕES[SALÁRIO BASE],0,0,1)</f>
        <v>1726.63</v>
      </c>
      <c r="G40" s="58">
        <f>IF(Tb_EFETIVO[[#This Row],[TOMADOR]]="UTGC",Tb_EFETIVO[[#This Row],[SALÁRIO BASE]]*1.3,Tb_EFETIVO[[#This Row],[SALÁRIO BASE]])</f>
        <v>2244.6190000000001</v>
      </c>
      <c r="H40" s="59">
        <v>40425499</v>
      </c>
      <c r="I40" s="59" t="s">
        <v>9</v>
      </c>
      <c r="J40" s="60">
        <v>45943</v>
      </c>
      <c r="K40" s="60">
        <v>27674</v>
      </c>
      <c r="L40" s="40" t="s">
        <v>158</v>
      </c>
      <c r="M40" s="60"/>
      <c r="N40" s="61" t="str">
        <f>IF(Tb_EFETIVO[[#This Row],[DEMISSÃO]]="","ATIVO","INATIVO")</f>
        <v>ATIVO</v>
      </c>
    </row>
    <row r="41" spans="1:14" x14ac:dyDescent="0.3">
      <c r="A41" s="56">
        <f>IF(Tb_EFETIVO[[#This Row],[TOMADOR]]="",0,1)</f>
        <v>1</v>
      </c>
      <c r="B41" s="57" t="s">
        <v>30</v>
      </c>
      <c r="C41" s="57" t="str">
        <f t="shared" si="3"/>
        <v>SINTRACON</v>
      </c>
      <c r="D41" s="57" t="s">
        <v>38</v>
      </c>
      <c r="E41" s="63" t="s">
        <v>10</v>
      </c>
      <c r="F41" s="58">
        <f>_xlfn.XLOOKUP(Tb_EFETIVO[[#This Row],[FUNÇÃO]],Tb_FUNÇÕES[RESUMO - FUNÇÕES],Tb_FUNÇÕES[SALÁRIO BASE],0,0,1)</f>
        <v>12000</v>
      </c>
      <c r="G41" s="58">
        <f>IF(Tb_EFETIVO[[#This Row],[TOMADOR]]="UTGC",Tb_EFETIVO[[#This Row],[SALÁRIO BASE]]*1.3,Tb_EFETIVO[[#This Row],[SALÁRIO BASE]])</f>
        <v>15600</v>
      </c>
      <c r="H41" s="59">
        <v>70578141</v>
      </c>
      <c r="I41" s="59" t="s">
        <v>8</v>
      </c>
      <c r="J41" s="60">
        <v>45909</v>
      </c>
      <c r="K41" s="60">
        <v>31561</v>
      </c>
      <c r="L41" s="40" t="s">
        <v>88</v>
      </c>
      <c r="M41" s="60"/>
      <c r="N41" s="61" t="str">
        <f>IF(Tb_EFETIVO[[#This Row],[DEMISSÃO]]="","ATIVO","INATIVO")</f>
        <v>ATIVO</v>
      </c>
    </row>
    <row r="42" spans="1:14" hidden="1" x14ac:dyDescent="0.3">
      <c r="A42" s="62">
        <f>IF(Tb_EFETIVO[[#This Row],[TOMADOR]]="",0,1)</f>
        <v>1</v>
      </c>
      <c r="B42" s="57" t="s">
        <v>30</v>
      </c>
      <c r="C42" s="57" t="str">
        <f t="shared" si="3"/>
        <v>SINTRACON</v>
      </c>
      <c r="D42" s="57" t="s">
        <v>294</v>
      </c>
      <c r="E42" s="63" t="s">
        <v>124</v>
      </c>
      <c r="F42" s="58">
        <v>1726.63</v>
      </c>
      <c r="G42" s="58">
        <f>IF(Tb_EFETIVO[[#This Row],[TOMADOR]]="UTGC",Tb_EFETIVO[[#This Row],[SALÁRIO BASE]]*1.3,Tb_EFETIVO[[#This Row],[SALÁRIO BASE]])</f>
        <v>2244.6190000000001</v>
      </c>
      <c r="H42" s="59">
        <v>72976544</v>
      </c>
      <c r="I42" s="59" t="s">
        <v>9</v>
      </c>
      <c r="J42" s="60">
        <v>46055</v>
      </c>
      <c r="K42" s="60">
        <v>31376</v>
      </c>
      <c r="L42" s="40" t="s">
        <v>298</v>
      </c>
      <c r="M42" s="60">
        <v>46090</v>
      </c>
      <c r="N42" s="61" t="str">
        <f>IF(Tb_EFETIVO[[#This Row],[DEMISSÃO]]="","ATIVO","INATIVO")</f>
        <v>INATIVO</v>
      </c>
    </row>
    <row r="43" spans="1:14" x14ac:dyDescent="0.3">
      <c r="A43" s="56">
        <f>IF(Tb_EFETIVO[[#This Row],[TOMADOR]]="",0,1)</f>
        <v>1</v>
      </c>
      <c r="B43" s="57" t="s">
        <v>30</v>
      </c>
      <c r="C43" s="57" t="str">
        <f t="shared" si="3"/>
        <v>SINTRACON</v>
      </c>
      <c r="D43" s="57" t="s">
        <v>50</v>
      </c>
      <c r="E43" s="63" t="s">
        <v>125</v>
      </c>
      <c r="F43" s="58">
        <f>_xlfn.XLOOKUP(Tb_EFETIVO[[#This Row],[FUNÇÃO]],Tb_FUNÇÕES[RESUMO - FUNÇÕES],Tb_FUNÇÕES[SALÁRIO BASE],0,0,1)</f>
        <v>3328.48</v>
      </c>
      <c r="G43" s="58">
        <f>IF(Tb_EFETIVO[[#This Row],[TOMADOR]]="UTGC",Tb_EFETIVO[[#This Row],[SALÁRIO BASE]]*1.3,Tb_EFETIVO[[#This Row],[SALÁRIO BASE]])</f>
        <v>4327.0240000000003</v>
      </c>
      <c r="H43" s="59">
        <v>43947559</v>
      </c>
      <c r="I43" s="59" t="s">
        <v>9</v>
      </c>
      <c r="J43" s="60">
        <v>45931</v>
      </c>
      <c r="K43" s="60">
        <v>31438</v>
      </c>
      <c r="L43" s="40" t="s">
        <v>106</v>
      </c>
      <c r="M43" s="60"/>
      <c r="N43" s="61" t="str">
        <f>IF(Tb_EFETIVO[[#This Row],[DEMISSÃO]]="","ATIVO","INATIVO")</f>
        <v>ATIVO</v>
      </c>
    </row>
    <row r="44" spans="1:14" x14ac:dyDescent="0.3">
      <c r="A44" s="84">
        <f>IF(Tb_EFETIVO[[#This Row],[TOMADOR]]="",0,1)</f>
        <v>1</v>
      </c>
      <c r="B44" s="85" t="s">
        <v>30</v>
      </c>
      <c r="C44" s="57" t="str">
        <f t="shared" si="3"/>
        <v>SINTRACON</v>
      </c>
      <c r="D44" s="85" t="s">
        <v>310</v>
      </c>
      <c r="E44" s="85" t="s">
        <v>379</v>
      </c>
      <c r="F44" s="58">
        <v>1726.63</v>
      </c>
      <c r="G44" s="58">
        <f>IF(Tb_EFETIVO[[#This Row],[TOMADOR]]="UTGC",Tb_EFETIVO[[#This Row],[SALÁRIO BASE]]*1.3,Tb_EFETIVO[[#This Row],[SALÁRIO BASE]])</f>
        <v>2244.6190000000001</v>
      </c>
      <c r="H44" s="59">
        <v>71737117</v>
      </c>
      <c r="I44" s="59" t="s">
        <v>9</v>
      </c>
      <c r="J44" s="60">
        <v>46062</v>
      </c>
      <c r="K44" s="60">
        <v>38268</v>
      </c>
      <c r="L44" s="40">
        <v>18061509725</v>
      </c>
      <c r="M44" s="60"/>
      <c r="N44" s="61" t="str">
        <f>IF(Tb_EFETIVO[[#This Row],[DEMISSÃO]]="","ATIVO","INATIVO")</f>
        <v>ATIVO</v>
      </c>
    </row>
    <row r="45" spans="1:14" hidden="1" x14ac:dyDescent="0.3">
      <c r="A45" s="56">
        <f>IF(Tb_EFETIVO[[#This Row],[TOMADOR]]="",0,1)</f>
        <v>1</v>
      </c>
      <c r="B45" s="57" t="s">
        <v>31</v>
      </c>
      <c r="C45" s="57" t="str">
        <f t="shared" si="3"/>
        <v>SINTRACONST</v>
      </c>
      <c r="D45" s="57" t="s">
        <v>63</v>
      </c>
      <c r="E45" s="63" t="s">
        <v>124</v>
      </c>
      <c r="F45" s="58">
        <f>_xlfn.XLOOKUP(Tb_EFETIVO[[#This Row],[FUNÇÃO]],Tb_FUNÇÕES[RESUMO - FUNÇÕES],Tb_FUNÇÕES[SALÁRIO BASE],0,0,1)</f>
        <v>1726.63</v>
      </c>
      <c r="G45" s="58">
        <f>IF(Tb_EFETIVO[[#This Row],[TOMADOR]]="UTGC",Tb_EFETIVO[[#This Row],[SALÁRIO BASE]]*1.3,Tb_EFETIVO[[#This Row],[SALÁRIO BASE]])</f>
        <v>1726.63</v>
      </c>
      <c r="H45" s="59">
        <v>72456410</v>
      </c>
      <c r="I45" s="59" t="s">
        <v>9</v>
      </c>
      <c r="J45" s="60">
        <v>45938</v>
      </c>
      <c r="K45" s="60">
        <v>37278</v>
      </c>
      <c r="L45" s="40" t="s">
        <v>119</v>
      </c>
      <c r="M45" s="60">
        <v>46003</v>
      </c>
      <c r="N45" s="61" t="str">
        <f>IF(Tb_EFETIVO[[#This Row],[DEMISSÃO]]="","ATIVO","INATIVO")</f>
        <v>INATIVO</v>
      </c>
    </row>
    <row r="46" spans="1:14" x14ac:dyDescent="0.3">
      <c r="A46" s="56">
        <f>IF(Tb_EFETIVO[[#This Row],[TOMADOR]]="",0,1)</f>
        <v>1</v>
      </c>
      <c r="B46" s="57" t="s">
        <v>30</v>
      </c>
      <c r="C46" s="57" t="str">
        <f t="shared" si="3"/>
        <v>SINTRACON</v>
      </c>
      <c r="D46" s="57" t="s">
        <v>195</v>
      </c>
      <c r="E46" s="63" t="s">
        <v>123</v>
      </c>
      <c r="F46" s="58">
        <f>_xlfn.XLOOKUP(Tb_EFETIVO[[#This Row],[FUNÇÃO]],Tb_FUNÇÕES[RESUMO - FUNÇÕES],Tb_FUNÇÕES[SALÁRIO BASE],0,0,1)</f>
        <v>3847.53</v>
      </c>
      <c r="G46" s="58">
        <f>IF(Tb_EFETIVO[[#This Row],[TOMADOR]]="UTGC",Tb_EFETIVO[[#This Row],[SALÁRIO BASE]]*1.3,Tb_EFETIVO[[#This Row],[SALÁRIO BASE]])</f>
        <v>5001.7890000000007</v>
      </c>
      <c r="H46" s="59">
        <v>72039558</v>
      </c>
      <c r="I46" s="59" t="s">
        <v>9</v>
      </c>
      <c r="J46" s="60">
        <v>45967</v>
      </c>
      <c r="K46" s="60">
        <v>36713</v>
      </c>
      <c r="L46" s="40" t="s">
        <v>205</v>
      </c>
      <c r="M46" s="60"/>
      <c r="N46" s="61" t="str">
        <f>IF(Tb_EFETIVO[[#This Row],[DEMISSÃO]]="","ATIVO","INATIVO")</f>
        <v>ATIVO</v>
      </c>
    </row>
    <row r="47" spans="1:14" x14ac:dyDescent="0.3">
      <c r="A47" s="62">
        <f>IF(Tb_EFETIVO[[#This Row],[TOMADOR]]="",0,1)</f>
        <v>1</v>
      </c>
      <c r="B47" s="57" t="s">
        <v>30</v>
      </c>
      <c r="C47" s="57" t="str">
        <f t="shared" si="3"/>
        <v>SINTRACON</v>
      </c>
      <c r="D47" s="57" t="s">
        <v>76</v>
      </c>
      <c r="E47" s="63" t="s">
        <v>5</v>
      </c>
      <c r="F47" s="58">
        <f>_xlfn.XLOOKUP(Tb_EFETIVO[[#This Row],[FUNÇÃO]],Tb_FUNÇÕES[RESUMO - FUNÇÕES],Tb_FUNÇÕES[SALÁRIO BASE],0,0,1)</f>
        <v>3800</v>
      </c>
      <c r="G47" s="58">
        <f>IF(Tb_EFETIVO[[#This Row],[TOMADOR]]="UTGC",Tb_EFETIVO[[#This Row],[SALÁRIO BASE]]*1.3,Tb_EFETIVO[[#This Row],[SALÁRIO BASE]])</f>
        <v>4940</v>
      </c>
      <c r="H47" s="59">
        <v>71198812</v>
      </c>
      <c r="I47" s="59" t="s">
        <v>8</v>
      </c>
      <c r="J47" s="60">
        <v>45918</v>
      </c>
      <c r="K47" s="60">
        <v>23276</v>
      </c>
      <c r="L47" s="40" t="s">
        <v>103</v>
      </c>
      <c r="M47" s="60"/>
      <c r="N47" s="61" t="str">
        <f>IF(Tb_EFETIVO[[#This Row],[DEMISSÃO]]="","ATIVO","INATIVO")</f>
        <v>ATIVO</v>
      </c>
    </row>
    <row r="48" spans="1:14" x14ac:dyDescent="0.3">
      <c r="A48" s="56">
        <f>IF(Tb_EFETIVO[[#This Row],[TOMADOR]]="",0,1)</f>
        <v>1</v>
      </c>
      <c r="B48" s="57" t="s">
        <v>30</v>
      </c>
      <c r="C48" s="57" t="str">
        <f t="shared" si="3"/>
        <v>SINTRACON</v>
      </c>
      <c r="D48" s="57" t="s">
        <v>51</v>
      </c>
      <c r="E48" s="63" t="s">
        <v>127</v>
      </c>
      <c r="F48" s="58">
        <f>_xlfn.XLOOKUP(Tb_EFETIVO[[#This Row],[FUNÇÃO]],Tb_FUNÇÕES[RESUMO - FUNÇÕES],Tb_FUNÇÕES[SALÁRIO BASE],0,0,1)</f>
        <v>4402.45</v>
      </c>
      <c r="G48" s="58">
        <f>IF(Tb_EFETIVO[[#This Row],[TOMADOR]]="UTGC",Tb_EFETIVO[[#This Row],[SALÁRIO BASE]]*1.3,Tb_EFETIVO[[#This Row],[SALÁRIO BASE]])</f>
        <v>5723.1850000000004</v>
      </c>
      <c r="H48" s="59">
        <v>40454919</v>
      </c>
      <c r="I48" s="59" t="s">
        <v>9</v>
      </c>
      <c r="J48" s="60">
        <v>45931</v>
      </c>
      <c r="K48" s="60">
        <v>28559</v>
      </c>
      <c r="L48" s="40" t="s">
        <v>107</v>
      </c>
      <c r="M48" s="60"/>
      <c r="N48" s="61" t="str">
        <f>IF(Tb_EFETIVO[[#This Row],[DEMISSÃO]]="","ATIVO","INATIVO")</f>
        <v>ATIVO</v>
      </c>
    </row>
    <row r="49" spans="1:14" ht="15" customHeight="1" x14ac:dyDescent="0.3">
      <c r="A49" s="56">
        <f>IF(Tb_EFETIVO[[#This Row],[TOMADOR]]="",0,1)</f>
        <v>1</v>
      </c>
      <c r="B49" s="57" t="s">
        <v>31</v>
      </c>
      <c r="C49" s="57" t="str">
        <f t="shared" si="3"/>
        <v>SINTRACONST</v>
      </c>
      <c r="D49" s="57" t="s">
        <v>64</v>
      </c>
      <c r="E49" s="63" t="s">
        <v>126</v>
      </c>
      <c r="F49" s="58">
        <f>_xlfn.XLOOKUP(Tb_EFETIVO[[#This Row],[FUNÇÃO]],Tb_FUNÇÕES[RESUMO - FUNÇÕES],Tb_FUNÇÕES[SALÁRIO BASE],0,0,1)</f>
        <v>3218.17</v>
      </c>
      <c r="G49" s="58">
        <f>IF(Tb_EFETIVO[[#This Row],[TOMADOR]]="UTGC",Tb_EFETIVO[[#This Row],[SALÁRIO BASE]]*1.3,Tb_EFETIVO[[#This Row],[SALÁRIO BASE]])</f>
        <v>3218.17</v>
      </c>
      <c r="H49" s="59">
        <v>72224703</v>
      </c>
      <c r="I49" s="59" t="s">
        <v>9</v>
      </c>
      <c r="J49" s="60">
        <v>45938</v>
      </c>
      <c r="K49" s="60">
        <v>33739</v>
      </c>
      <c r="L49" s="40" t="s">
        <v>120</v>
      </c>
      <c r="M49" s="60"/>
      <c r="N49" s="61" t="str">
        <f>IF(Tb_EFETIVO[[#This Row],[DEMISSÃO]]="","ATIVO","INATIVO")</f>
        <v>ATIVO</v>
      </c>
    </row>
    <row r="50" spans="1:14" ht="15" hidden="1" customHeight="1" x14ac:dyDescent="0.3">
      <c r="A50" s="62">
        <f>IF(Tb_EFETIVO[[#This Row],[TOMADOR]]="",0,1)</f>
        <v>1</v>
      </c>
      <c r="B50" s="57" t="s">
        <v>30</v>
      </c>
      <c r="C50" s="57" t="str">
        <f t="shared" si="3"/>
        <v>SINTRACON</v>
      </c>
      <c r="D50" s="57" t="s">
        <v>130</v>
      </c>
      <c r="E50" s="63" t="s">
        <v>128</v>
      </c>
      <c r="F50" s="58">
        <f>_xlfn.XLOOKUP(Tb_EFETIVO[[#This Row],[FUNÇÃO]],Tb_FUNÇÕES[RESUMO - FUNÇÕES],Tb_FUNÇÕES[SALÁRIO BASE],0,0,1)</f>
        <v>4622.57</v>
      </c>
      <c r="G50" s="58">
        <f>IF(Tb_EFETIVO[[#This Row],[TOMADOR]]="UTGC",Tb_EFETIVO[[#This Row],[SALÁRIO BASE]]*1.3,Tb_EFETIVO[[#This Row],[SALÁRIO BASE]])</f>
        <v>6009.3409999999994</v>
      </c>
      <c r="H50" s="59">
        <v>70051724</v>
      </c>
      <c r="I50" s="59" t="s">
        <v>9</v>
      </c>
      <c r="J50" s="60">
        <v>45943</v>
      </c>
      <c r="K50" s="60">
        <v>34223</v>
      </c>
      <c r="L50" s="40" t="s">
        <v>150</v>
      </c>
      <c r="M50" s="60">
        <v>46058</v>
      </c>
      <c r="N50" s="61" t="str">
        <f>IF(Tb_EFETIVO[[#This Row],[DEMISSÃO]]="","ATIVO","INATIVO")</f>
        <v>INATIVO</v>
      </c>
    </row>
    <row r="51" spans="1:14" ht="15" hidden="1" customHeight="1" x14ac:dyDescent="0.3">
      <c r="A51" s="56">
        <f>IF(Tb_EFETIVO[[#This Row],[TOMADOR]]="",0,1)</f>
        <v>1</v>
      </c>
      <c r="B51" s="57" t="s">
        <v>30</v>
      </c>
      <c r="C51" s="57" t="str">
        <f t="shared" si="3"/>
        <v>SINTRACON</v>
      </c>
      <c r="D51" s="57" t="s">
        <v>129</v>
      </c>
      <c r="E51" s="63" t="s">
        <v>124</v>
      </c>
      <c r="F51" s="58">
        <f>_xlfn.XLOOKUP(Tb_EFETIVO[[#This Row],[FUNÇÃO]],Tb_FUNÇÕES[RESUMO - FUNÇÕES],Tb_FUNÇÕES[SALÁRIO BASE],0,0,1)</f>
        <v>1726.63</v>
      </c>
      <c r="G51" s="58">
        <f>IF(Tb_EFETIVO[[#This Row],[TOMADOR]]="UTGC",Tb_EFETIVO[[#This Row],[SALÁRIO BASE]]*1.3,Tb_EFETIVO[[#This Row],[SALÁRIO BASE]])</f>
        <v>2244.6190000000001</v>
      </c>
      <c r="H51" s="59">
        <v>72836965</v>
      </c>
      <c r="I51" s="59" t="s">
        <v>9</v>
      </c>
      <c r="J51" s="60">
        <v>45943</v>
      </c>
      <c r="K51" s="60">
        <v>38196</v>
      </c>
      <c r="L51" s="40" t="s">
        <v>159</v>
      </c>
      <c r="M51" s="60">
        <v>46030</v>
      </c>
      <c r="N51" s="61" t="str">
        <f>IF(Tb_EFETIVO[[#This Row],[DEMISSÃO]]="","ATIVO","INATIVO")</f>
        <v>INATIVO</v>
      </c>
    </row>
    <row r="52" spans="1:14" ht="15" customHeight="1" x14ac:dyDescent="0.3">
      <c r="A52" s="56">
        <f>IF(Tb_EFETIVO[[#This Row],[TOMADOR]]="",0,1)</f>
        <v>1</v>
      </c>
      <c r="B52" s="57" t="s">
        <v>30</v>
      </c>
      <c r="C52" s="57" t="str">
        <f t="shared" si="3"/>
        <v>SINTRACON</v>
      </c>
      <c r="D52" s="57" t="s">
        <v>131</v>
      </c>
      <c r="E52" s="63" t="s">
        <v>128</v>
      </c>
      <c r="F52" s="58">
        <f>_xlfn.XLOOKUP(Tb_EFETIVO[[#This Row],[FUNÇÃO]],Tb_FUNÇÕES[RESUMO - FUNÇÕES],Tb_FUNÇÕES[SALÁRIO BASE],0,0,1)</f>
        <v>4622.57</v>
      </c>
      <c r="G52" s="58">
        <f>IF(Tb_EFETIVO[[#This Row],[TOMADOR]]="UTGC",Tb_EFETIVO[[#This Row],[SALÁRIO BASE]]*1.3,Tb_EFETIVO[[#This Row],[SALÁRIO BASE]])</f>
        <v>6009.3409999999994</v>
      </c>
      <c r="H52" s="59">
        <v>70051700</v>
      </c>
      <c r="I52" s="59" t="s">
        <v>9</v>
      </c>
      <c r="J52" s="60">
        <v>45943</v>
      </c>
      <c r="K52" s="60">
        <v>34739</v>
      </c>
      <c r="L52" s="40" t="s">
        <v>151</v>
      </c>
      <c r="M52" s="60"/>
      <c r="N52" s="61" t="str">
        <f>IF(Tb_EFETIVO[[#This Row],[DEMISSÃO]]="","ATIVO","INATIVO")</f>
        <v>ATIVO</v>
      </c>
    </row>
    <row r="53" spans="1:14" ht="15" customHeight="1" x14ac:dyDescent="0.3">
      <c r="A53" s="56">
        <f>IF(Tb_EFETIVO[[#This Row],[TOMADOR]]="",0,1)</f>
        <v>1</v>
      </c>
      <c r="B53" s="57" t="s">
        <v>30</v>
      </c>
      <c r="C53" s="57" t="str">
        <f t="shared" si="3"/>
        <v>SINTRACON</v>
      </c>
      <c r="D53" s="57" t="s">
        <v>4</v>
      </c>
      <c r="E53" s="63" t="s">
        <v>27</v>
      </c>
      <c r="F53" s="58">
        <f>_xlfn.XLOOKUP(Tb_EFETIVO[[#This Row],[FUNÇÃO]],Tb_FUNÇÕES[RESUMO - FUNÇÕES],Tb_FUNÇÕES[SALÁRIO BASE],0,0,1)</f>
        <v>14000</v>
      </c>
      <c r="G53" s="58">
        <f>IF(Tb_EFETIVO[[#This Row],[TOMADOR]]="UTGC",Tb_EFETIVO[[#This Row],[SALÁRIO BASE]]*1.3,Tb_EFETIVO[[#This Row],[SALÁRIO BASE]])</f>
        <v>18200</v>
      </c>
      <c r="H53" s="59">
        <v>40836307</v>
      </c>
      <c r="I53" s="59" t="s">
        <v>8</v>
      </c>
      <c r="J53" s="60">
        <v>45910</v>
      </c>
      <c r="K53" s="60">
        <v>31777</v>
      </c>
      <c r="L53" s="40" t="s">
        <v>89</v>
      </c>
      <c r="M53" s="60"/>
      <c r="N53" s="61" t="str">
        <f>IF(Tb_EFETIVO[[#This Row],[DEMISSÃO]]="","ATIVO","INATIVO")</f>
        <v>ATIVO</v>
      </c>
    </row>
    <row r="54" spans="1:14" ht="15" customHeight="1" x14ac:dyDescent="0.3">
      <c r="A54" s="62">
        <f>IF(Tb_EFETIVO[[#This Row],[TOMADOR]]="",0,1)</f>
        <v>1</v>
      </c>
      <c r="B54" s="57" t="s">
        <v>30</v>
      </c>
      <c r="C54" s="57" t="str">
        <f t="shared" si="3"/>
        <v>SINTRACON</v>
      </c>
      <c r="D54" s="57" t="s">
        <v>197</v>
      </c>
      <c r="E54" s="63" t="s">
        <v>193</v>
      </c>
      <c r="F54" s="58">
        <f>_xlfn.XLOOKUP(Tb_EFETIVO[[#This Row],[FUNÇÃO]],Tb_FUNÇÕES[RESUMO - FUNÇÕES],Tb_FUNÇÕES[SALÁRIO BASE],0,0,1)</f>
        <v>4975.62</v>
      </c>
      <c r="G54" s="58">
        <f>IF(Tb_EFETIVO[[#This Row],[TOMADOR]]="UTGC",Tb_EFETIVO[[#This Row],[SALÁRIO BASE]]*1.3,Tb_EFETIVO[[#This Row],[SALÁRIO BASE]])</f>
        <v>6468.3060000000005</v>
      </c>
      <c r="H54" s="59">
        <v>41784170</v>
      </c>
      <c r="I54" s="59" t="s">
        <v>9</v>
      </c>
      <c r="J54" s="60">
        <v>45967</v>
      </c>
      <c r="K54" s="60">
        <v>31148</v>
      </c>
      <c r="L54" s="40" t="s">
        <v>207</v>
      </c>
      <c r="M54" s="60"/>
      <c r="N54" s="61" t="str">
        <f>IF(Tb_EFETIVO[[#This Row],[DEMISSÃO]]="","ATIVO","INATIVO")</f>
        <v>ATIVO</v>
      </c>
    </row>
    <row r="55" spans="1:14" ht="15" customHeight="1" x14ac:dyDescent="0.3">
      <c r="A55" s="56">
        <f>IF(Tb_EFETIVO[[#This Row],[TOMADOR]]="",0,1)</f>
        <v>1</v>
      </c>
      <c r="B55" s="57" t="s">
        <v>31</v>
      </c>
      <c r="C55" s="57" t="str">
        <f t="shared" si="3"/>
        <v>SINTRACONST</v>
      </c>
      <c r="D55" s="57" t="s">
        <v>166</v>
      </c>
      <c r="E55" s="63" t="s">
        <v>124</v>
      </c>
      <c r="F55" s="58">
        <f>_xlfn.XLOOKUP(Tb_EFETIVO[[#This Row],[FUNÇÃO]],Tb_FUNÇÕES[RESUMO - FUNÇÕES],Tb_FUNÇÕES[SALÁRIO BASE],0,0,1)</f>
        <v>1726.63</v>
      </c>
      <c r="G55" s="58">
        <f>IF(Tb_EFETIVO[[#This Row],[TOMADOR]]="UTGC",Tb_EFETIVO[[#This Row],[SALÁRIO BASE]]*1.3,Tb_EFETIVO[[#This Row],[SALÁRIO BASE]])</f>
        <v>1726.63</v>
      </c>
      <c r="H55" s="59">
        <v>72595692</v>
      </c>
      <c r="I55" s="59" t="s">
        <v>9</v>
      </c>
      <c r="J55" s="60">
        <v>45952</v>
      </c>
      <c r="K55" s="60">
        <v>38066</v>
      </c>
      <c r="L55" s="40">
        <v>20276051777</v>
      </c>
      <c r="M55" s="60"/>
      <c r="N55" s="61" t="str">
        <f>IF(Tb_EFETIVO[[#This Row],[DEMISSÃO]]="","ATIVO","INATIVO")</f>
        <v>ATIVO</v>
      </c>
    </row>
    <row r="56" spans="1:14" ht="15" hidden="1" customHeight="1" x14ac:dyDescent="0.3">
      <c r="A56" s="56">
        <f>IF(Tb_EFETIVO[[#This Row],[TOMADOR]]="",0,1)</f>
        <v>1</v>
      </c>
      <c r="B56" s="57" t="s">
        <v>30</v>
      </c>
      <c r="C56" s="57" t="str">
        <f t="shared" si="3"/>
        <v>SINTRACON</v>
      </c>
      <c r="D56" s="57" t="s">
        <v>198</v>
      </c>
      <c r="E56" s="63" t="s">
        <v>124</v>
      </c>
      <c r="F56" s="58">
        <f>_xlfn.XLOOKUP(Tb_EFETIVO[[#This Row],[FUNÇÃO]],Tb_FUNÇÕES[RESUMO - FUNÇÕES],Tb_FUNÇÕES[SALÁRIO BASE],0,0,1)</f>
        <v>1726.63</v>
      </c>
      <c r="G56" s="58">
        <f>IF(Tb_EFETIVO[[#This Row],[TOMADOR]]="UTGC",Tb_EFETIVO[[#This Row],[SALÁRIO BASE]]*1.3,Tb_EFETIVO[[#This Row],[SALÁRIO BASE]])</f>
        <v>2244.6190000000001</v>
      </c>
      <c r="H56" s="59">
        <v>72870880</v>
      </c>
      <c r="I56" s="59" t="s">
        <v>9</v>
      </c>
      <c r="J56" s="60">
        <v>45967</v>
      </c>
      <c r="K56" s="60">
        <v>36515</v>
      </c>
      <c r="L56" s="40" t="s">
        <v>209</v>
      </c>
      <c r="M56" s="60">
        <v>46042</v>
      </c>
      <c r="N56" s="61" t="str">
        <f>IF(Tb_EFETIVO[[#This Row],[DEMISSÃO]]="","ATIVO","INATIVO")</f>
        <v>INATIVO</v>
      </c>
    </row>
    <row r="57" spans="1:14" ht="15" customHeight="1" x14ac:dyDescent="0.3">
      <c r="A57" s="62">
        <f>IF(Tb_EFETIVO[[#This Row],[TOMADOR]]="",0,1)</f>
        <v>1</v>
      </c>
      <c r="B57" s="57" t="s">
        <v>30</v>
      </c>
      <c r="C57" s="57" t="str">
        <f t="shared" si="3"/>
        <v>SINTRACON</v>
      </c>
      <c r="D57" s="57" t="s">
        <v>295</v>
      </c>
      <c r="E57" s="63" t="s">
        <v>379</v>
      </c>
      <c r="F57" s="58">
        <v>1726.63</v>
      </c>
      <c r="G57" s="58">
        <f>IF(Tb_EFETIVO[[#This Row],[TOMADOR]]="UTGC",Tb_EFETIVO[[#This Row],[SALÁRIO BASE]]*1.3,Tb_EFETIVO[[#This Row],[SALÁRIO BASE]])</f>
        <v>2244.6190000000001</v>
      </c>
      <c r="H57" s="59">
        <v>72281261</v>
      </c>
      <c r="I57" s="59" t="s">
        <v>9</v>
      </c>
      <c r="J57" s="60">
        <v>46055</v>
      </c>
      <c r="K57" s="60">
        <v>38379</v>
      </c>
      <c r="L57" s="40" t="s">
        <v>299</v>
      </c>
      <c r="M57" s="60"/>
      <c r="N57" s="61" t="str">
        <f>IF(Tb_EFETIVO[[#This Row],[DEMISSÃO]]="","ATIVO","INATIVO")</f>
        <v>ATIVO</v>
      </c>
    </row>
    <row r="58" spans="1:14" ht="15" customHeight="1" x14ac:dyDescent="0.3">
      <c r="A58" s="56">
        <f>IF(Tb_EFETIVO[[#This Row],[TOMADOR]]="",0,1)</f>
        <v>1</v>
      </c>
      <c r="B58" s="57" t="s">
        <v>30</v>
      </c>
      <c r="C58" s="57" t="str">
        <f t="shared" si="3"/>
        <v>SINTRACON</v>
      </c>
      <c r="D58" s="57" t="s">
        <v>52</v>
      </c>
      <c r="E58" s="63" t="s">
        <v>123</v>
      </c>
      <c r="F58" s="58">
        <f>_xlfn.XLOOKUP(Tb_EFETIVO[[#This Row],[FUNÇÃO]],Tb_FUNÇÕES[RESUMO - FUNÇÕES],Tb_FUNÇÕES[SALÁRIO BASE],0,0,1)</f>
        <v>3847.53</v>
      </c>
      <c r="G58" s="58">
        <f>IF(Tb_EFETIVO[[#This Row],[TOMADOR]]="UTGC",Tb_EFETIVO[[#This Row],[SALÁRIO BASE]]*1.3,Tb_EFETIVO[[#This Row],[SALÁRIO BASE]])</f>
        <v>5001.7890000000007</v>
      </c>
      <c r="H58" s="59">
        <v>72595692</v>
      </c>
      <c r="I58" s="59" t="s">
        <v>9</v>
      </c>
      <c r="J58" s="60">
        <v>45931</v>
      </c>
      <c r="K58" s="60">
        <v>35771</v>
      </c>
      <c r="L58" s="40" t="s">
        <v>108</v>
      </c>
      <c r="M58" s="60"/>
      <c r="N58" s="61" t="str">
        <f>IF(Tb_EFETIVO[[#This Row],[DEMISSÃO]]="","ATIVO","INATIVO")</f>
        <v>ATIVO</v>
      </c>
    </row>
    <row r="59" spans="1:14" ht="15" customHeight="1" x14ac:dyDescent="0.3">
      <c r="A59" s="84">
        <f>IF(Tb_EFETIVO[[#This Row],[TOMADOR]]="",0,1)</f>
        <v>1</v>
      </c>
      <c r="B59" s="85" t="s">
        <v>30</v>
      </c>
      <c r="C59" s="57" t="str">
        <f t="shared" si="3"/>
        <v>SINTRACON</v>
      </c>
      <c r="D59" s="85" t="s">
        <v>311</v>
      </c>
      <c r="E59" s="85" t="s">
        <v>127</v>
      </c>
      <c r="F59" s="58">
        <v>4402.45</v>
      </c>
      <c r="G59" s="58">
        <f>IF(Tb_EFETIVO[[#This Row],[TOMADOR]]="UTGC",Tb_EFETIVO[[#This Row],[SALÁRIO BASE]]*1.3,Tb_EFETIVO[[#This Row],[SALÁRIO BASE]])</f>
        <v>5723.1850000000004</v>
      </c>
      <c r="H59" s="59">
        <v>43239101</v>
      </c>
      <c r="I59" s="59" t="s">
        <v>9</v>
      </c>
      <c r="J59" s="60">
        <v>46062</v>
      </c>
      <c r="K59" s="60">
        <v>32071</v>
      </c>
      <c r="L59" s="40">
        <v>12146638770</v>
      </c>
      <c r="M59" s="60"/>
      <c r="N59" s="61" t="str">
        <f>IF(Tb_EFETIVO[[#This Row],[DEMISSÃO]]="","ATIVO","INATIVO")</f>
        <v>ATIVO</v>
      </c>
    </row>
    <row r="60" spans="1:14" ht="15" hidden="1" customHeight="1" x14ac:dyDescent="0.3">
      <c r="A60" s="56">
        <f>IF(Tb_EFETIVO[[#This Row],[TOMADOR]]="",0,1)</f>
        <v>1</v>
      </c>
      <c r="B60" s="57" t="s">
        <v>30</v>
      </c>
      <c r="C60" s="57" t="str">
        <f t="shared" si="3"/>
        <v>SINTRACON</v>
      </c>
      <c r="D60" s="57" t="s">
        <v>141</v>
      </c>
      <c r="E60" s="63" t="s">
        <v>124</v>
      </c>
      <c r="F60" s="58">
        <f>_xlfn.XLOOKUP(Tb_EFETIVO[[#This Row],[FUNÇÃO]],Tb_FUNÇÕES[RESUMO - FUNÇÕES],Tb_FUNÇÕES[SALÁRIO BASE],0,0,1)</f>
        <v>1726.63</v>
      </c>
      <c r="G60" s="58">
        <f>IF(Tb_EFETIVO[[#This Row],[TOMADOR]]="UTGC",Tb_EFETIVO[[#This Row],[SALÁRIO BASE]]*1.3,Tb_EFETIVO[[#This Row],[SALÁRIO BASE]])</f>
        <v>2244.6190000000001</v>
      </c>
      <c r="H60" s="59">
        <v>72838067</v>
      </c>
      <c r="I60" s="59" t="s">
        <v>9</v>
      </c>
      <c r="J60" s="60">
        <v>45943</v>
      </c>
      <c r="K60" s="60">
        <v>36201</v>
      </c>
      <c r="L60" s="40" t="s">
        <v>152</v>
      </c>
      <c r="M60" s="60">
        <v>46058</v>
      </c>
      <c r="N60" s="61" t="str">
        <f>IF(Tb_EFETIVO[[#This Row],[DEMISSÃO]]="","ATIVO","INATIVO")</f>
        <v>INATIVO</v>
      </c>
    </row>
    <row r="61" spans="1:14" ht="15" customHeight="1" x14ac:dyDescent="0.3">
      <c r="A61" s="56">
        <f>IF(Tb_EFETIVO[[#This Row],[TOMADOR]]="",0,1)</f>
        <v>1</v>
      </c>
      <c r="B61" s="57" t="s">
        <v>30</v>
      </c>
      <c r="C61" s="57" t="str">
        <f t="shared" si="3"/>
        <v>SINTRACON</v>
      </c>
      <c r="D61" s="57" t="s">
        <v>142</v>
      </c>
      <c r="E61" s="63" t="s">
        <v>128</v>
      </c>
      <c r="F61" s="58">
        <f>_xlfn.XLOOKUP(Tb_EFETIVO[[#This Row],[FUNÇÃO]],Tb_FUNÇÕES[RESUMO - FUNÇÕES],Tb_FUNÇÕES[SALÁRIO BASE],0,0,1)</f>
        <v>4622.57</v>
      </c>
      <c r="G61" s="58">
        <f>IF(Tb_EFETIVO[[#This Row],[TOMADOR]]="UTGC",Tb_EFETIVO[[#This Row],[SALÁRIO BASE]]*1.3,Tb_EFETIVO[[#This Row],[SALÁRIO BASE]])</f>
        <v>6009.3409999999994</v>
      </c>
      <c r="H61" s="59">
        <v>71137702</v>
      </c>
      <c r="I61" s="59" t="s">
        <v>9</v>
      </c>
      <c r="J61" s="60">
        <v>45943</v>
      </c>
      <c r="K61" s="60">
        <v>32137</v>
      </c>
      <c r="L61" s="40" t="s">
        <v>153</v>
      </c>
      <c r="M61" s="60"/>
      <c r="N61" s="61" t="str">
        <f>IF(Tb_EFETIVO[[#This Row],[DEMISSÃO]]="","ATIVO","INATIVO")</f>
        <v>ATIVO</v>
      </c>
    </row>
    <row r="62" spans="1:14" ht="15" customHeight="1" x14ac:dyDescent="0.3">
      <c r="A62" s="56">
        <f>IF(Tb_EFETIVO[[#This Row],[TOMADOR]]="",0,1)</f>
        <v>1</v>
      </c>
      <c r="B62" s="57" t="s">
        <v>30</v>
      </c>
      <c r="C62" s="57" t="str">
        <f t="shared" si="3"/>
        <v>SINTRACON</v>
      </c>
      <c r="D62" s="57" t="s">
        <v>53</v>
      </c>
      <c r="E62" s="63" t="s">
        <v>127</v>
      </c>
      <c r="F62" s="58">
        <f>_xlfn.XLOOKUP(Tb_EFETIVO[[#This Row],[FUNÇÃO]],Tb_FUNÇÕES[RESUMO - FUNÇÕES],Tb_FUNÇÕES[SALÁRIO BASE],0,0,1)</f>
        <v>4402.45</v>
      </c>
      <c r="G62" s="58">
        <f>IF(Tb_EFETIVO[[#This Row],[TOMADOR]]="UTGC",Tb_EFETIVO[[#This Row],[SALÁRIO BASE]]*1.3,Tb_EFETIVO[[#This Row],[SALÁRIO BASE]])</f>
        <v>5723.1850000000004</v>
      </c>
      <c r="H62" s="59">
        <v>47017636</v>
      </c>
      <c r="I62" s="59" t="s">
        <v>9</v>
      </c>
      <c r="J62" s="60">
        <v>45931</v>
      </c>
      <c r="K62" s="60">
        <v>32533</v>
      </c>
      <c r="L62" s="40" t="s">
        <v>109</v>
      </c>
      <c r="M62" s="60"/>
      <c r="N62" s="61" t="str">
        <f>IF(Tb_EFETIVO[[#This Row],[DEMISSÃO]]="","ATIVO","INATIVO")</f>
        <v>ATIVO</v>
      </c>
    </row>
    <row r="63" spans="1:14" ht="15" hidden="1" customHeight="1" x14ac:dyDescent="0.3">
      <c r="A63" s="56">
        <f>IF(Tb_EFETIVO[[#This Row],[TOMADOR]]="",0,1)</f>
        <v>1</v>
      </c>
      <c r="B63" s="57" t="s">
        <v>30</v>
      </c>
      <c r="C63" s="57" t="str">
        <f t="shared" si="3"/>
        <v>SINTRACON</v>
      </c>
      <c r="D63" s="57" t="s">
        <v>54</v>
      </c>
      <c r="E63" s="63" t="s">
        <v>124</v>
      </c>
      <c r="F63" s="58">
        <f>_xlfn.XLOOKUP(Tb_EFETIVO[[#This Row],[FUNÇÃO]],Tb_FUNÇÕES[RESUMO - FUNÇÕES],Tb_FUNÇÕES[SALÁRIO BASE],0,0,1)</f>
        <v>1726.63</v>
      </c>
      <c r="G63" s="58">
        <f>IF(Tb_EFETIVO[[#This Row],[TOMADOR]]="UTGC",Tb_EFETIVO[[#This Row],[SALÁRIO BASE]]*1.3,Tb_EFETIVO[[#This Row],[SALÁRIO BASE]])</f>
        <v>2244.6190000000001</v>
      </c>
      <c r="H63" s="59">
        <v>72404369</v>
      </c>
      <c r="I63" s="59" t="s">
        <v>9</v>
      </c>
      <c r="J63" s="60">
        <v>45931</v>
      </c>
      <c r="K63" s="60">
        <v>26243</v>
      </c>
      <c r="L63" s="40" t="s">
        <v>110</v>
      </c>
      <c r="M63" s="60">
        <v>46086</v>
      </c>
      <c r="N63" s="61" t="str">
        <f>IF(Tb_EFETIVO[[#This Row],[DEMISSÃO]]="","ATIVO","INATIVO")</f>
        <v>INATIVO</v>
      </c>
    </row>
    <row r="64" spans="1:14" ht="15" customHeight="1" x14ac:dyDescent="0.3">
      <c r="A64" s="62">
        <f>IF(Tb_EFETIVO[[#This Row],[TOMADOR]]="",0,1)</f>
        <v>1</v>
      </c>
      <c r="B64" s="57" t="s">
        <v>31</v>
      </c>
      <c r="C64" s="57" t="str">
        <f t="shared" si="3"/>
        <v>SINTRACONST</v>
      </c>
      <c r="D64" s="57" t="s">
        <v>281</v>
      </c>
      <c r="E64" s="63" t="s">
        <v>68</v>
      </c>
      <c r="F64" s="58">
        <f>_xlfn.XLOOKUP(Tb_EFETIVO[[#This Row],[FUNÇÃO]],Tb_FUNÇÕES[RESUMO - FUNÇÕES],Tb_FUNÇÕES[SALÁRIO BASE],0,0,1)</f>
        <v>4425.3</v>
      </c>
      <c r="G64" s="58">
        <f>IF(Tb_EFETIVO[[#This Row],[TOMADOR]]="UTGC",Tb_EFETIVO[[#This Row],[SALÁRIO BASE]]*1.3,Tb_EFETIVO[[#This Row],[SALÁRIO BASE]])</f>
        <v>4425.3</v>
      </c>
      <c r="H64" s="59">
        <v>71785441</v>
      </c>
      <c r="I64" s="59" t="s">
        <v>8</v>
      </c>
      <c r="J64" s="60">
        <v>46034</v>
      </c>
      <c r="K64" s="60">
        <v>35210</v>
      </c>
      <c r="L64" s="40" t="s">
        <v>282</v>
      </c>
      <c r="M64" s="60"/>
      <c r="N64" s="61" t="str">
        <f>IF(Tb_EFETIVO[[#This Row],[DEMISSÃO]]="","ATIVO","INATIVO")</f>
        <v>ATIVO</v>
      </c>
    </row>
    <row r="65" spans="1:14" ht="15" customHeight="1" x14ac:dyDescent="0.3">
      <c r="A65" s="56">
        <f>IF(Tb_EFETIVO[[#This Row],[TOMADOR]]="",0,1)</f>
        <v>1</v>
      </c>
      <c r="B65" s="57" t="s">
        <v>30</v>
      </c>
      <c r="C65" s="57" t="str">
        <f t="shared" si="3"/>
        <v>SINTRACON</v>
      </c>
      <c r="D65" s="57" t="s">
        <v>196</v>
      </c>
      <c r="E65" s="63" t="s">
        <v>123</v>
      </c>
      <c r="F65" s="58">
        <f>_xlfn.XLOOKUP(Tb_EFETIVO[[#This Row],[FUNÇÃO]],Tb_FUNÇÕES[RESUMO - FUNÇÕES],Tb_FUNÇÕES[SALÁRIO BASE],0,0,1)</f>
        <v>3847.53</v>
      </c>
      <c r="G65" s="58">
        <f>IF(Tb_EFETIVO[[#This Row],[TOMADOR]]="UTGC",Tb_EFETIVO[[#This Row],[SALÁRIO BASE]]*1.3,Tb_EFETIVO[[#This Row],[SALÁRIO BASE]])</f>
        <v>5001.7890000000007</v>
      </c>
      <c r="H65" s="59">
        <v>44508456</v>
      </c>
      <c r="I65" s="59" t="s">
        <v>9</v>
      </c>
      <c r="J65" s="60">
        <v>45967</v>
      </c>
      <c r="K65" s="60">
        <v>27986</v>
      </c>
      <c r="L65" s="40" t="s">
        <v>206</v>
      </c>
      <c r="M65" s="60"/>
      <c r="N65" s="61" t="str">
        <f>IF(Tb_EFETIVO[[#This Row],[DEMISSÃO]]="","ATIVO","INATIVO")</f>
        <v>ATIVO</v>
      </c>
    </row>
    <row r="66" spans="1:14" ht="15" customHeight="1" x14ac:dyDescent="0.3">
      <c r="A66" s="84">
        <f>IF(Tb_EFETIVO[[#This Row],[TOMADOR]]="",0,1)</f>
        <v>1</v>
      </c>
      <c r="B66" s="57" t="s">
        <v>30</v>
      </c>
      <c r="C66" s="57" t="str">
        <f t="shared" si="3"/>
        <v>SINTRACON</v>
      </c>
      <c r="D66" s="85" t="s">
        <v>320</v>
      </c>
      <c r="E66" s="85" t="s">
        <v>68</v>
      </c>
      <c r="F66" s="58">
        <v>4425.3</v>
      </c>
      <c r="G66" s="86">
        <f>IF(Tb_EFETIVO[[#This Row],[TOMADOR]]="UTGC",Tb_EFETIVO[[#This Row],[SALÁRIO BASE]]*1.3,Tb_EFETIVO[[#This Row],[SALÁRIO BASE]])</f>
        <v>5752.89</v>
      </c>
      <c r="H66" s="87">
        <v>72208555</v>
      </c>
      <c r="I66" s="87" t="s">
        <v>8</v>
      </c>
      <c r="J66" s="98">
        <v>46083</v>
      </c>
      <c r="K66" s="60">
        <v>36090</v>
      </c>
      <c r="L66" s="40" t="s">
        <v>350</v>
      </c>
      <c r="M66" s="85"/>
      <c r="N66" s="61" t="str">
        <f>IF(Tb_EFETIVO[[#This Row],[DEMISSÃO]]="","ATIVO","INATIVO")</f>
        <v>ATIVO</v>
      </c>
    </row>
    <row r="67" spans="1:14" ht="15" hidden="1" customHeight="1" x14ac:dyDescent="0.3">
      <c r="A67" s="62">
        <f>IF(Tb_EFETIVO[[#This Row],[TOMADOR]]="",0,1)</f>
        <v>1</v>
      </c>
      <c r="B67" s="57" t="s">
        <v>30</v>
      </c>
      <c r="C67" s="57" t="str">
        <f t="shared" si="3"/>
        <v>SINTRACON</v>
      </c>
      <c r="D67" s="57" t="s">
        <v>39</v>
      </c>
      <c r="E67" s="63" t="s">
        <v>72</v>
      </c>
      <c r="F67" s="58">
        <f>_xlfn.XLOOKUP(Tb_EFETIVO[[#This Row],[FUNÇÃO]],Tb_FUNÇÕES[RESUMO - FUNÇÕES],Tb_FUNÇÕES[SALÁRIO BASE],0,0,1)</f>
        <v>12000</v>
      </c>
      <c r="G67" s="58">
        <f>IF(Tb_EFETIVO[[#This Row],[TOMADOR]]="UTGC",Tb_EFETIVO[[#This Row],[SALÁRIO BASE]]*1.3,Tb_EFETIVO[[#This Row],[SALÁRIO BASE]])</f>
        <v>15600</v>
      </c>
      <c r="H67" s="59">
        <v>42870425</v>
      </c>
      <c r="I67" s="59" t="s">
        <v>8</v>
      </c>
      <c r="J67" s="60">
        <v>45922</v>
      </c>
      <c r="K67" s="60">
        <v>21692</v>
      </c>
      <c r="L67" s="40" t="s">
        <v>90</v>
      </c>
      <c r="M67" s="60">
        <v>45940</v>
      </c>
      <c r="N67" s="61" t="str">
        <f>IF(Tb_EFETIVO[[#This Row],[DEMISSÃO]]="","ATIVO","INATIVO")</f>
        <v>INATIVO</v>
      </c>
    </row>
    <row r="68" spans="1:14" ht="15" customHeight="1" x14ac:dyDescent="0.3">
      <c r="A68" s="84">
        <f>IF(Tb_EFETIVO[[#This Row],[TOMADOR]]="",0,1)</f>
        <v>1</v>
      </c>
      <c r="B68" s="57" t="s">
        <v>30</v>
      </c>
      <c r="C68" s="57" t="str">
        <f t="shared" si="3"/>
        <v>SINTRACON</v>
      </c>
      <c r="D68" s="85" t="s">
        <v>321</v>
      </c>
      <c r="E68" s="85" t="s">
        <v>379</v>
      </c>
      <c r="F68" s="58">
        <v>1726.63</v>
      </c>
      <c r="G68" s="86">
        <f>IF(Tb_EFETIVO[[#This Row],[TOMADOR]]="UTGC",Tb_EFETIVO[[#This Row],[SALÁRIO BASE]]*1.3,Tb_EFETIVO[[#This Row],[SALÁRIO BASE]])</f>
        <v>2244.6190000000001</v>
      </c>
      <c r="H68" s="87">
        <v>72995350</v>
      </c>
      <c r="I68" s="87" t="s">
        <v>9</v>
      </c>
      <c r="J68" s="98">
        <v>46083</v>
      </c>
      <c r="K68" s="60">
        <v>37246</v>
      </c>
      <c r="L68" s="40" t="s">
        <v>351</v>
      </c>
      <c r="M68" s="85"/>
      <c r="N68" s="61" t="str">
        <f>IF(Tb_EFETIVO[[#This Row],[DEMISSÃO]]="","ATIVO","INATIVO")</f>
        <v>ATIVO</v>
      </c>
    </row>
    <row r="69" spans="1:14" ht="15" customHeight="1" x14ac:dyDescent="0.3">
      <c r="A69" s="56">
        <f>IF(Tb_EFETIVO[[#This Row],[TOMADOR]]="",0,1)</f>
        <v>1</v>
      </c>
      <c r="B69" s="57" t="s">
        <v>30</v>
      </c>
      <c r="C69" s="57" t="str">
        <f t="shared" si="3"/>
        <v>SINTRACON</v>
      </c>
      <c r="D69" s="57" t="s">
        <v>55</v>
      </c>
      <c r="E69" s="63" t="s">
        <v>379</v>
      </c>
      <c r="F69" s="58">
        <f>_xlfn.XLOOKUP(Tb_EFETIVO[[#This Row],[FUNÇÃO]],Tb_FUNÇÕES[RESUMO - FUNÇÕES],Tb_FUNÇÕES[SALÁRIO BASE],0,0,1)</f>
        <v>1726.63</v>
      </c>
      <c r="G69" s="58">
        <f>IF(Tb_EFETIVO[[#This Row],[TOMADOR]]="UTGC",Tb_EFETIVO[[#This Row],[SALÁRIO BASE]]*1.3,Tb_EFETIVO[[#This Row],[SALÁRIO BASE]])</f>
        <v>2244.6190000000001</v>
      </c>
      <c r="H69" s="59">
        <v>72404369</v>
      </c>
      <c r="I69" s="59" t="s">
        <v>9</v>
      </c>
      <c r="J69" s="60">
        <v>45931</v>
      </c>
      <c r="K69" s="60">
        <v>36881</v>
      </c>
      <c r="L69" s="40" t="s">
        <v>111</v>
      </c>
      <c r="M69" s="60"/>
      <c r="N69" s="61" t="str">
        <f>IF(Tb_EFETIVO[[#This Row],[DEMISSÃO]]="","ATIVO","INATIVO")</f>
        <v>ATIVO</v>
      </c>
    </row>
    <row r="70" spans="1:14" ht="15" customHeight="1" x14ac:dyDescent="0.3">
      <c r="A70" s="56">
        <f>IF(Tb_EFETIVO[[#This Row],[TOMADOR]]="",0,1)</f>
        <v>1</v>
      </c>
      <c r="B70" s="57" t="s">
        <v>30</v>
      </c>
      <c r="C70" s="57" t="str">
        <f t="shared" si="3"/>
        <v>SINTRACON</v>
      </c>
      <c r="D70" s="57" t="s">
        <v>132</v>
      </c>
      <c r="E70" s="63" t="s">
        <v>263</v>
      </c>
      <c r="F70" s="58">
        <f>_xlfn.XLOOKUP(Tb_EFETIVO[[#This Row],[FUNÇÃO]],Tb_FUNÇÕES[RESUMO - FUNÇÕES],Tb_FUNÇÕES[SALÁRIO BASE],0,0,1)</f>
        <v>8500</v>
      </c>
      <c r="G70" s="58">
        <f>IF(Tb_EFETIVO[[#This Row],[TOMADOR]]="UTGC",Tb_EFETIVO[[#This Row],[SALÁRIO BASE]]*1.3,Tb_EFETIVO[[#This Row],[SALÁRIO BASE]])</f>
        <v>11050</v>
      </c>
      <c r="H70" s="59">
        <v>44059820</v>
      </c>
      <c r="I70" s="59" t="s">
        <v>8</v>
      </c>
      <c r="J70" s="60">
        <v>45943</v>
      </c>
      <c r="K70" s="60">
        <v>29889</v>
      </c>
      <c r="L70" s="40" t="s">
        <v>154</v>
      </c>
      <c r="M70" s="60"/>
      <c r="N70" s="61" t="str">
        <f>IF(Tb_EFETIVO[[#This Row],[DEMISSÃO]]="","ATIVO","INATIVO")</f>
        <v>ATIVO</v>
      </c>
    </row>
    <row r="71" spans="1:14" ht="15" customHeight="1" x14ac:dyDescent="0.3">
      <c r="A71" s="56">
        <f>IF(Tb_EFETIVO[[#This Row],[TOMADOR]]="",0,1)</f>
        <v>1</v>
      </c>
      <c r="B71" s="57" t="s">
        <v>30</v>
      </c>
      <c r="C71" s="57" t="str">
        <f t="shared" si="3"/>
        <v>SINTRACON</v>
      </c>
      <c r="D71" s="57" t="s">
        <v>56</v>
      </c>
      <c r="E71" s="63" t="s">
        <v>127</v>
      </c>
      <c r="F71" s="58">
        <f>_xlfn.XLOOKUP(Tb_EFETIVO[[#This Row],[FUNÇÃO]],Tb_FUNÇÕES[RESUMO - FUNÇÕES],Tb_FUNÇÕES[SALÁRIO BASE],0,0,1)</f>
        <v>4402.45</v>
      </c>
      <c r="G71" s="58">
        <f>IF(Tb_EFETIVO[[#This Row],[TOMADOR]]="UTGC",Tb_EFETIVO[[#This Row],[SALÁRIO BASE]]*1.3,Tb_EFETIVO[[#This Row],[SALÁRIO BASE]])</f>
        <v>5723.1850000000004</v>
      </c>
      <c r="H71" s="59">
        <v>40219041</v>
      </c>
      <c r="I71" s="59" t="s">
        <v>9</v>
      </c>
      <c r="J71" s="60">
        <v>45931</v>
      </c>
      <c r="K71" s="60">
        <v>25994</v>
      </c>
      <c r="L71" s="40" t="s">
        <v>112</v>
      </c>
      <c r="M71" s="60"/>
      <c r="N71" s="61" t="str">
        <f>IF(Tb_EFETIVO[[#This Row],[DEMISSÃO]]="","ATIVO","INATIVO")</f>
        <v>ATIVO</v>
      </c>
    </row>
    <row r="72" spans="1:14" ht="15" customHeight="1" x14ac:dyDescent="0.3">
      <c r="A72" s="62">
        <f>IF(Tb_EFETIVO[[#This Row],[TOMADOR]]="",0,1)</f>
        <v>1</v>
      </c>
      <c r="B72" s="57" t="s">
        <v>30</v>
      </c>
      <c r="C72" s="57" t="str">
        <f t="shared" ref="C72:C103" si="4">IF(B72="UTGC","SINTRACON",IF(B72="EDIVIT","SINTRACONST",""))</f>
        <v>SINTRACON</v>
      </c>
      <c r="D72" s="57" t="s">
        <v>40</v>
      </c>
      <c r="E72" s="63" t="s">
        <v>70</v>
      </c>
      <c r="F72" s="58">
        <f>_xlfn.XLOOKUP(Tb_EFETIVO[[#This Row],[FUNÇÃO]],Tb_FUNÇÕES[RESUMO - FUNÇÕES],Tb_FUNÇÕES[SALÁRIO BASE],0,0,1)</f>
        <v>12000</v>
      </c>
      <c r="G72" s="58">
        <f>IF(Tb_EFETIVO[[#This Row],[TOMADOR]]="UTGC",Tb_EFETIVO[[#This Row],[SALÁRIO BASE]]*1.3,Tb_EFETIVO[[#This Row],[SALÁRIO BASE]])</f>
        <v>15600</v>
      </c>
      <c r="H72" s="59">
        <v>72209656</v>
      </c>
      <c r="I72" s="59" t="s">
        <v>8</v>
      </c>
      <c r="J72" s="60">
        <v>45919</v>
      </c>
      <c r="K72" s="60">
        <v>34523</v>
      </c>
      <c r="L72" s="40" t="s">
        <v>91</v>
      </c>
      <c r="M72" s="60"/>
      <c r="N72" s="61" t="str">
        <f>IF(Tb_EFETIVO[[#This Row],[DEMISSÃO]]="","ATIVO","INATIVO")</f>
        <v>ATIVO</v>
      </c>
    </row>
    <row r="73" spans="1:14" ht="15" customHeight="1" x14ac:dyDescent="0.3">
      <c r="A73" s="62">
        <f>IF(Tb_EFETIVO[[#This Row],[TOMADOR]]="",0,1)</f>
        <v>1</v>
      </c>
      <c r="B73" s="57" t="s">
        <v>30</v>
      </c>
      <c r="C73" s="57" t="str">
        <f t="shared" si="4"/>
        <v>SINTRACON</v>
      </c>
      <c r="D73" s="57" t="s">
        <v>268</v>
      </c>
      <c r="E73" s="63" t="s">
        <v>128</v>
      </c>
      <c r="F73" s="58">
        <f>_xlfn.XLOOKUP(Tb_EFETIVO[[#This Row],[FUNÇÃO]],Tb_FUNÇÕES[RESUMO - FUNÇÕES],Tb_FUNÇÕES[SALÁRIO BASE],0,0,1)</f>
        <v>4622.57</v>
      </c>
      <c r="G73" s="58">
        <f>IF(Tb_EFETIVO[[#This Row],[TOMADOR]]="UTGC",Tb_EFETIVO[[#This Row],[SALÁRIO BASE]]*1.3,Tb_EFETIVO[[#This Row],[SALÁRIO BASE]])</f>
        <v>6009.3409999999994</v>
      </c>
      <c r="H73" s="59">
        <v>45058592</v>
      </c>
      <c r="I73" s="59" t="s">
        <v>9</v>
      </c>
      <c r="J73" s="60">
        <v>45992</v>
      </c>
      <c r="K73" s="60">
        <v>33480</v>
      </c>
      <c r="L73" s="40" t="s">
        <v>279</v>
      </c>
      <c r="M73" s="60"/>
      <c r="N73" s="61" t="str">
        <f>IF(Tb_EFETIVO[[#This Row],[DEMISSÃO]]="","ATIVO","INATIVO")</f>
        <v>ATIVO</v>
      </c>
    </row>
    <row r="74" spans="1:14" ht="15" customHeight="1" x14ac:dyDescent="0.3">
      <c r="A74" s="56">
        <f>IF(Tb_EFETIVO[[#This Row],[TOMADOR]]="",0,1)</f>
        <v>1</v>
      </c>
      <c r="B74" s="57" t="s">
        <v>31</v>
      </c>
      <c r="C74" s="57" t="str">
        <f t="shared" si="4"/>
        <v>SINTRACONST</v>
      </c>
      <c r="D74" s="57" t="s">
        <v>12</v>
      </c>
      <c r="E74" s="63" t="s">
        <v>75</v>
      </c>
      <c r="F74" s="58">
        <f>_xlfn.XLOOKUP(Tb_EFETIVO[[#This Row],[FUNÇÃO]],Tb_FUNÇÕES[RESUMO - FUNÇÕES],Tb_FUNÇÕES[SALÁRIO BASE],0,0,1)</f>
        <v>12000</v>
      </c>
      <c r="G74" s="58">
        <f>IF(Tb_EFETIVO[[#This Row],[TOMADOR]]="UTGC",Tb_EFETIVO[[#This Row],[SALÁRIO BASE]]*1.3,Tb_EFETIVO[[#This Row],[SALÁRIO BASE]])</f>
        <v>12000</v>
      </c>
      <c r="H74" s="59">
        <v>70460396</v>
      </c>
      <c r="I74" s="59" t="s">
        <v>8</v>
      </c>
      <c r="J74" s="60">
        <v>45917</v>
      </c>
      <c r="K74" s="60">
        <v>35975</v>
      </c>
      <c r="L74" s="40" t="s">
        <v>92</v>
      </c>
      <c r="M74" s="60"/>
      <c r="N74" s="61" t="str">
        <f>IF(Tb_EFETIVO[[#This Row],[DEMISSÃO]]="","ATIVO","INATIVO")</f>
        <v>ATIVO</v>
      </c>
    </row>
    <row r="75" spans="1:14" ht="15" customHeight="1" x14ac:dyDescent="0.3">
      <c r="A75" s="56">
        <f>IF(Tb_EFETIVO[[#This Row],[TOMADOR]]="",0,1)</f>
        <v>1</v>
      </c>
      <c r="B75" s="57" t="s">
        <v>30</v>
      </c>
      <c r="C75" s="57" t="str">
        <f t="shared" si="4"/>
        <v>SINTRACON</v>
      </c>
      <c r="D75" s="57" t="s">
        <v>133</v>
      </c>
      <c r="E75" s="63" t="s">
        <v>380</v>
      </c>
      <c r="F75" s="58">
        <f>_xlfn.XLOOKUP(Tb_EFETIVO[[#This Row],[FUNÇÃO]],Tb_FUNÇÕES[RESUMO - FUNÇÕES],Tb_FUNÇÕES[SALÁRIO BASE],0,0,1)</f>
        <v>1726.63</v>
      </c>
      <c r="G75" s="58">
        <f>IF(Tb_EFETIVO[[#This Row],[TOMADOR]]="UTGC",Tb_EFETIVO[[#This Row],[SALÁRIO BASE]]*1.3,Tb_EFETIVO[[#This Row],[SALÁRIO BASE]])</f>
        <v>2244.6190000000001</v>
      </c>
      <c r="H75" s="59">
        <v>72465326</v>
      </c>
      <c r="I75" s="59" t="s">
        <v>9</v>
      </c>
      <c r="J75" s="60">
        <v>45943</v>
      </c>
      <c r="K75" s="60">
        <v>33180</v>
      </c>
      <c r="L75" s="40" t="s">
        <v>181</v>
      </c>
      <c r="M75" s="60"/>
      <c r="N75" s="61" t="str">
        <f>IF(Tb_EFETIVO[[#This Row],[DEMISSÃO]]="","ATIVO","INATIVO")</f>
        <v>ATIVO</v>
      </c>
    </row>
    <row r="76" spans="1:14" ht="15" customHeight="1" x14ac:dyDescent="0.3">
      <c r="A76" s="62">
        <f>IF(Tb_EFETIVO[[#This Row],[TOMADOR]]="",0,1)</f>
        <v>1</v>
      </c>
      <c r="B76" s="57" t="s">
        <v>30</v>
      </c>
      <c r="C76" s="57" t="str">
        <f t="shared" si="4"/>
        <v>SINTRACON</v>
      </c>
      <c r="D76" s="57" t="s">
        <v>41</v>
      </c>
      <c r="E76" s="63" t="s">
        <v>67</v>
      </c>
      <c r="F76" s="58">
        <f>_xlfn.XLOOKUP(Tb_EFETIVO[[#This Row],[FUNÇÃO]],Tb_FUNÇÕES[RESUMO - FUNÇÕES],Tb_FUNÇÕES[SALÁRIO BASE],0,0,1)</f>
        <v>4425.3</v>
      </c>
      <c r="G76" s="58">
        <f>IF(Tb_EFETIVO[[#This Row],[TOMADOR]]="UTGC",Tb_EFETIVO[[#This Row],[SALÁRIO BASE]]*1.3,Tb_EFETIVO[[#This Row],[SALÁRIO BASE]])</f>
        <v>5752.89</v>
      </c>
      <c r="H76" s="59">
        <v>45273790</v>
      </c>
      <c r="I76" s="59" t="s">
        <v>8</v>
      </c>
      <c r="J76" s="60">
        <v>45917</v>
      </c>
      <c r="K76" s="60">
        <v>32486</v>
      </c>
      <c r="L76" s="40" t="s">
        <v>93</v>
      </c>
      <c r="M76" s="60"/>
      <c r="N76" s="61" t="str">
        <f>IF(Tb_EFETIVO[[#This Row],[DEMISSÃO]]="","ATIVO","INATIVO")</f>
        <v>ATIVO</v>
      </c>
    </row>
    <row r="77" spans="1:14" ht="15" customHeight="1" x14ac:dyDescent="0.3">
      <c r="A77" s="62">
        <f>IF(Tb_EFETIVO[[#This Row],[TOMADOR]]="",0,1)</f>
        <v>1</v>
      </c>
      <c r="B77" s="57" t="s">
        <v>30</v>
      </c>
      <c r="C77" s="57" t="str">
        <f t="shared" si="4"/>
        <v>SINTRACON</v>
      </c>
      <c r="D77" s="57" t="s">
        <v>42</v>
      </c>
      <c r="E77" s="63" t="s">
        <v>68</v>
      </c>
      <c r="F77" s="58">
        <f>_xlfn.XLOOKUP(Tb_EFETIVO[[#This Row],[FUNÇÃO]],Tb_FUNÇÕES[RESUMO - FUNÇÕES],Tb_FUNÇÕES[SALÁRIO BASE],0,0,1)</f>
        <v>4425.3</v>
      </c>
      <c r="G77" s="58">
        <f>IF(Tb_EFETIVO[[#This Row],[TOMADOR]]="UTGC",Tb_EFETIVO[[#This Row],[SALÁRIO BASE]]*1.3,Tb_EFETIVO[[#This Row],[SALÁRIO BASE]])</f>
        <v>5752.89</v>
      </c>
      <c r="H77" s="59">
        <v>49713404</v>
      </c>
      <c r="I77" s="59" t="s">
        <v>8</v>
      </c>
      <c r="J77" s="60">
        <v>45917</v>
      </c>
      <c r="K77" s="60">
        <v>32512</v>
      </c>
      <c r="L77" s="40" t="s">
        <v>94</v>
      </c>
      <c r="M77" s="60"/>
      <c r="N77" s="61" t="str">
        <f>IF(Tb_EFETIVO[[#This Row],[DEMISSÃO]]="","ATIVO","INATIVO")</f>
        <v>ATIVO</v>
      </c>
    </row>
    <row r="78" spans="1:14" ht="15" hidden="1" customHeight="1" x14ac:dyDescent="0.3">
      <c r="A78" s="56">
        <f>IF(Tb_EFETIVO[[#This Row],[TOMADOR]]="",0,1)</f>
        <v>1</v>
      </c>
      <c r="B78" s="57" t="s">
        <v>31</v>
      </c>
      <c r="C78" s="57" t="str">
        <f t="shared" si="4"/>
        <v>SINTRACONST</v>
      </c>
      <c r="D78" s="57" t="s">
        <v>169</v>
      </c>
      <c r="E78" s="63" t="s">
        <v>126</v>
      </c>
      <c r="F78" s="58">
        <f>_xlfn.XLOOKUP(Tb_EFETIVO[[#This Row],[FUNÇÃO]],Tb_FUNÇÕES[RESUMO - FUNÇÕES],Tb_FUNÇÕES[SALÁRIO BASE],0,0,1)</f>
        <v>3218.17</v>
      </c>
      <c r="G78" s="58">
        <f>IF(Tb_EFETIVO[[#This Row],[TOMADOR]]="UTGC",Tb_EFETIVO[[#This Row],[SALÁRIO BASE]]*1.3,Tb_EFETIVO[[#This Row],[SALÁRIO BASE]])</f>
        <v>3218.17</v>
      </c>
      <c r="H78" s="59">
        <v>72848976</v>
      </c>
      <c r="I78" s="59" t="s">
        <v>9</v>
      </c>
      <c r="J78" s="60">
        <v>45952</v>
      </c>
      <c r="K78" s="60">
        <v>33739</v>
      </c>
      <c r="L78" s="40" t="s">
        <v>179</v>
      </c>
      <c r="M78" s="60">
        <v>46036</v>
      </c>
      <c r="N78" s="61" t="str">
        <f>IF(Tb_EFETIVO[[#This Row],[DEMISSÃO]]="","ATIVO","INATIVO")</f>
        <v>INATIVO</v>
      </c>
    </row>
    <row r="79" spans="1:14" ht="15" customHeight="1" x14ac:dyDescent="0.3">
      <c r="A79" s="84">
        <f>IF(Tb_EFETIVO[[#This Row],[TOMADOR]]="",0,1)</f>
        <v>1</v>
      </c>
      <c r="B79" s="85" t="s">
        <v>30</v>
      </c>
      <c r="C79" s="57" t="str">
        <f t="shared" si="4"/>
        <v>SINTRACON</v>
      </c>
      <c r="D79" s="85" t="s">
        <v>312</v>
      </c>
      <c r="E79" s="85" t="s">
        <v>380</v>
      </c>
      <c r="F79" s="58">
        <v>1726.63</v>
      </c>
      <c r="G79" s="58">
        <f>IF(Tb_EFETIVO[[#This Row],[TOMADOR]]="UTGC",Tb_EFETIVO[[#This Row],[SALÁRIO BASE]]*1.3,Tb_EFETIVO[[#This Row],[SALÁRIO BASE]])</f>
        <v>2244.6190000000001</v>
      </c>
      <c r="H79" s="59">
        <v>44852138</v>
      </c>
      <c r="I79" s="59" t="s">
        <v>9</v>
      </c>
      <c r="J79" s="60">
        <v>46062</v>
      </c>
      <c r="K79" s="60">
        <v>28220</v>
      </c>
      <c r="L79" s="40" t="s">
        <v>318</v>
      </c>
      <c r="M79" s="60"/>
      <c r="N79" s="61" t="str">
        <f>IF(Tb_EFETIVO[[#This Row],[DEMISSÃO]]="","ATIVO","INATIVO")</f>
        <v>ATIVO</v>
      </c>
    </row>
    <row r="80" spans="1:14" ht="15" customHeight="1" x14ac:dyDescent="0.3">
      <c r="A80" s="84">
        <f>IF(Tb_EFETIVO[[#This Row],[TOMADOR]]="",0,1)</f>
        <v>1</v>
      </c>
      <c r="B80" s="85" t="s">
        <v>30</v>
      </c>
      <c r="C80" s="57" t="str">
        <f t="shared" si="4"/>
        <v>SINTRACON</v>
      </c>
      <c r="D80" s="85" t="s">
        <v>313</v>
      </c>
      <c r="E80" s="85" t="s">
        <v>379</v>
      </c>
      <c r="F80" s="58">
        <v>1726.63</v>
      </c>
      <c r="G80" s="58">
        <f>IF(Tb_EFETIVO[[#This Row],[TOMADOR]]="UTGC",Tb_EFETIVO[[#This Row],[SALÁRIO BASE]]*1.3,Tb_EFETIVO[[#This Row],[SALÁRIO BASE]])</f>
        <v>2244.6190000000001</v>
      </c>
      <c r="H80" s="59">
        <v>72757636</v>
      </c>
      <c r="I80" s="59" t="s">
        <v>9</v>
      </c>
      <c r="J80" s="60">
        <v>46062</v>
      </c>
      <c r="K80" s="60">
        <v>37830</v>
      </c>
      <c r="L80" s="40">
        <v>17632826785</v>
      </c>
      <c r="M80" s="60"/>
      <c r="N80" s="61" t="str">
        <f>IF(Tb_EFETIVO[[#This Row],[DEMISSÃO]]="","ATIVO","INATIVO")</f>
        <v>ATIVO</v>
      </c>
    </row>
    <row r="81" spans="1:14" ht="15" customHeight="1" x14ac:dyDescent="0.3">
      <c r="A81" s="56">
        <f>IF(Tb_EFETIVO[[#This Row],[TOMADOR]]="",0,1)</f>
        <v>1</v>
      </c>
      <c r="B81" s="57" t="s">
        <v>31</v>
      </c>
      <c r="C81" s="57" t="str">
        <f t="shared" si="4"/>
        <v>SINTRACONST</v>
      </c>
      <c r="D81" s="57" t="s">
        <v>65</v>
      </c>
      <c r="E81" s="63" t="s">
        <v>124</v>
      </c>
      <c r="F81" s="58">
        <f>_xlfn.XLOOKUP(Tb_EFETIVO[[#This Row],[FUNÇÃO]],Tb_FUNÇÕES[RESUMO - FUNÇÕES],Tb_FUNÇÕES[SALÁRIO BASE],0,0,1)</f>
        <v>1726.63</v>
      </c>
      <c r="G81" s="58">
        <f>IF(Tb_EFETIVO[[#This Row],[TOMADOR]]="UTGC",Tb_EFETIVO[[#This Row],[SALÁRIO BASE]]*1.3,Tb_EFETIVO[[#This Row],[SALÁRIO BASE]])</f>
        <v>1726.63</v>
      </c>
      <c r="H81" s="59">
        <v>72454871</v>
      </c>
      <c r="I81" s="59" t="s">
        <v>9</v>
      </c>
      <c r="J81" s="60">
        <v>45938</v>
      </c>
      <c r="K81" s="60">
        <v>32356</v>
      </c>
      <c r="L81" s="40" t="s">
        <v>121</v>
      </c>
      <c r="M81" s="60"/>
      <c r="N81" s="61" t="str">
        <f>IF(Tb_EFETIVO[[#This Row],[DEMISSÃO]]="","ATIVO","INATIVO")</f>
        <v>ATIVO</v>
      </c>
    </row>
    <row r="82" spans="1:14" ht="15" customHeight="1" x14ac:dyDescent="0.3">
      <c r="A82" s="56">
        <f>IF(Tb_EFETIVO[[#This Row],[TOMADOR]]="",0,1)</f>
        <v>1</v>
      </c>
      <c r="B82" s="57" t="s">
        <v>30</v>
      </c>
      <c r="C82" s="57" t="str">
        <f t="shared" si="4"/>
        <v>SINTRACON</v>
      </c>
      <c r="D82" s="57" t="s">
        <v>57</v>
      </c>
      <c r="E82" s="63" t="s">
        <v>127</v>
      </c>
      <c r="F82" s="58">
        <f>_xlfn.XLOOKUP(Tb_EFETIVO[[#This Row],[FUNÇÃO]],Tb_FUNÇÕES[RESUMO - FUNÇÕES],Tb_FUNÇÕES[SALÁRIO BASE],0,0,1)</f>
        <v>4402.45</v>
      </c>
      <c r="G82" s="58">
        <f>IF(Tb_EFETIVO[[#This Row],[TOMADOR]]="UTGC",Tb_EFETIVO[[#This Row],[SALÁRIO BASE]]*1.3,Tb_EFETIVO[[#This Row],[SALÁRIO BASE]])</f>
        <v>5723.1850000000004</v>
      </c>
      <c r="H82" s="59">
        <v>47320324</v>
      </c>
      <c r="I82" s="59" t="s">
        <v>9</v>
      </c>
      <c r="J82" s="60">
        <v>45931</v>
      </c>
      <c r="K82" s="60">
        <v>33040</v>
      </c>
      <c r="L82" s="40" t="s">
        <v>113</v>
      </c>
      <c r="M82" s="60"/>
      <c r="N82" s="61" t="str">
        <f>IF(Tb_EFETIVO[[#This Row],[DEMISSÃO]]="","ATIVO","INATIVO")</f>
        <v>ATIVO</v>
      </c>
    </row>
    <row r="83" spans="1:14" x14ac:dyDescent="0.3">
      <c r="A83" s="62">
        <f>IF(Tb_EFETIVO[[#This Row],[TOMADOR]]="",0,1)</f>
        <v>1</v>
      </c>
      <c r="B83" s="57" t="s">
        <v>30</v>
      </c>
      <c r="C83" s="57" t="str">
        <f t="shared" si="4"/>
        <v>SINTRACON</v>
      </c>
      <c r="D83" s="57" t="s">
        <v>58</v>
      </c>
      <c r="E83" s="63" t="s">
        <v>127</v>
      </c>
      <c r="F83" s="58">
        <f>_xlfn.XLOOKUP(Tb_EFETIVO[[#This Row],[FUNÇÃO]],Tb_FUNÇÕES[RESUMO - FUNÇÕES],Tb_FUNÇÕES[SALÁRIO BASE],0,0,1)</f>
        <v>4402.45</v>
      </c>
      <c r="G83" s="58">
        <f>IF(Tb_EFETIVO[[#This Row],[TOMADOR]]="UTGC",Tb_EFETIVO[[#This Row],[SALÁRIO BASE]]*1.3,Tb_EFETIVO[[#This Row],[SALÁRIO BASE]])</f>
        <v>5723.1850000000004</v>
      </c>
      <c r="H83" s="59">
        <v>41784469</v>
      </c>
      <c r="I83" s="59" t="s">
        <v>9</v>
      </c>
      <c r="J83" s="60">
        <v>45931</v>
      </c>
      <c r="K83" s="60">
        <v>32147</v>
      </c>
      <c r="L83" s="40" t="s">
        <v>114</v>
      </c>
      <c r="M83" s="60"/>
      <c r="N83" s="61" t="str">
        <f>IF(Tb_EFETIVO[[#This Row],[DEMISSÃO]]="","ATIVO","INATIVO")</f>
        <v>ATIVO</v>
      </c>
    </row>
    <row r="84" spans="1:14" ht="15" customHeight="1" x14ac:dyDescent="0.3">
      <c r="A84" s="56">
        <f>IF(Tb_EFETIVO[[#This Row],[TOMADOR]]="",0,1)</f>
        <v>1</v>
      </c>
      <c r="B84" s="57" t="s">
        <v>30</v>
      </c>
      <c r="C84" s="57" t="str">
        <f t="shared" si="4"/>
        <v>SINTRACON</v>
      </c>
      <c r="D84" s="57" t="s">
        <v>59</v>
      </c>
      <c r="E84" s="63" t="s">
        <v>379</v>
      </c>
      <c r="F84" s="58">
        <f>_xlfn.XLOOKUP(Tb_EFETIVO[[#This Row],[FUNÇÃO]],Tb_FUNÇÕES[RESUMO - FUNÇÕES],Tb_FUNÇÕES[SALÁRIO BASE],0,0,1)</f>
        <v>1726.63</v>
      </c>
      <c r="G84" s="58">
        <f>IF(Tb_EFETIVO[[#This Row],[TOMADOR]]="UTGC",Tb_EFETIVO[[#This Row],[SALÁRIO BASE]]*1.3,Tb_EFETIVO[[#This Row],[SALÁRIO BASE]])</f>
        <v>2244.6190000000001</v>
      </c>
      <c r="H84" s="59">
        <v>72397767</v>
      </c>
      <c r="I84" s="59" t="s">
        <v>9</v>
      </c>
      <c r="J84" s="60">
        <v>45931</v>
      </c>
      <c r="K84" s="60">
        <v>34559</v>
      </c>
      <c r="L84" s="40" t="s">
        <v>115</v>
      </c>
      <c r="M84" s="60"/>
      <c r="N84" s="61" t="str">
        <f>IF(Tb_EFETIVO[[#This Row],[DEMISSÃO]]="","ATIVO","INATIVO")</f>
        <v>ATIVO</v>
      </c>
    </row>
    <row r="85" spans="1:14" ht="15" customHeight="1" x14ac:dyDescent="0.3">
      <c r="A85" s="62">
        <f>IF(Tb_EFETIVO[[#This Row],[TOMADOR]]="",0,1)</f>
        <v>1</v>
      </c>
      <c r="B85" s="57" t="s">
        <v>30</v>
      </c>
      <c r="C85" s="57" t="str">
        <f t="shared" si="4"/>
        <v>SINTRACON</v>
      </c>
      <c r="D85" s="57" t="s">
        <v>43</v>
      </c>
      <c r="E85" s="63" t="s">
        <v>73</v>
      </c>
      <c r="F85" s="58">
        <f>_xlfn.XLOOKUP(Tb_EFETIVO[[#This Row],[FUNÇÃO]],Tb_FUNÇÕES[RESUMO - FUNÇÕES],Tb_FUNÇÕES[SALÁRIO BASE],0,0,1)</f>
        <v>14000</v>
      </c>
      <c r="G85" s="58">
        <f>IF(Tb_EFETIVO[[#This Row],[TOMADOR]]="UTGC",Tb_EFETIVO[[#This Row],[SALÁRIO BASE]]*1.3,Tb_EFETIVO[[#This Row],[SALÁRIO BASE]])</f>
        <v>18200</v>
      </c>
      <c r="H85" s="59">
        <v>70575452</v>
      </c>
      <c r="I85" s="59" t="s">
        <v>8</v>
      </c>
      <c r="J85" s="60">
        <v>45922</v>
      </c>
      <c r="K85" s="60">
        <v>33084</v>
      </c>
      <c r="L85" s="40" t="s">
        <v>95</v>
      </c>
      <c r="M85" s="60"/>
      <c r="N85" s="61" t="str">
        <f>IF(Tb_EFETIVO[[#This Row],[DEMISSÃO]]="","ATIVO","INATIVO")</f>
        <v>ATIVO</v>
      </c>
    </row>
    <row r="86" spans="1:14" ht="15" customHeight="1" x14ac:dyDescent="0.3">
      <c r="A86" s="62">
        <f>IF(Tb_EFETIVO[[#This Row],[TOMADOR]]="",0,1)</f>
        <v>1</v>
      </c>
      <c r="B86" s="57" t="s">
        <v>30</v>
      </c>
      <c r="C86" s="57" t="str">
        <f t="shared" si="4"/>
        <v>SINTRACON</v>
      </c>
      <c r="D86" s="57" t="s">
        <v>134</v>
      </c>
      <c r="E86" s="63" t="s">
        <v>135</v>
      </c>
      <c r="F86" s="58">
        <f>_xlfn.XLOOKUP(Tb_EFETIVO[[#This Row],[FUNÇÃO]],Tb_FUNÇÕES[RESUMO - FUNÇÕES],Tb_FUNÇÕES[SALÁRIO BASE],0,0,1)</f>
        <v>3328.48</v>
      </c>
      <c r="G86" s="58">
        <f>IF(Tb_EFETIVO[[#This Row],[TOMADOR]]="UTGC",Tb_EFETIVO[[#This Row],[SALÁRIO BASE]]*1.3,Tb_EFETIVO[[#This Row],[SALÁRIO BASE]])</f>
        <v>4327.0240000000003</v>
      </c>
      <c r="H86" s="59">
        <v>49093339</v>
      </c>
      <c r="I86" s="59" t="s">
        <v>9</v>
      </c>
      <c r="J86" s="60">
        <v>45943</v>
      </c>
      <c r="K86" s="60">
        <v>33856</v>
      </c>
      <c r="L86" s="40" t="s">
        <v>160</v>
      </c>
      <c r="M86" s="60"/>
      <c r="N86" s="61" t="str">
        <f>IF(Tb_EFETIVO[[#This Row],[DEMISSÃO]]="","ATIVO","INATIVO")</f>
        <v>ATIVO</v>
      </c>
    </row>
    <row r="87" spans="1:14" ht="15" customHeight="1" x14ac:dyDescent="0.3">
      <c r="A87" s="56">
        <f>IF(Tb_EFETIVO[[#This Row],[TOMADOR]]="",0,1)</f>
        <v>1</v>
      </c>
      <c r="B87" s="57" t="s">
        <v>30</v>
      </c>
      <c r="C87" s="57" t="str">
        <f t="shared" si="4"/>
        <v>SINTRACON</v>
      </c>
      <c r="D87" s="57" t="s">
        <v>44</v>
      </c>
      <c r="E87" s="63" t="s">
        <v>68</v>
      </c>
      <c r="F87" s="58">
        <f>_xlfn.XLOOKUP(Tb_EFETIVO[[#This Row],[FUNÇÃO]],Tb_FUNÇÕES[RESUMO - FUNÇÕES],Tb_FUNÇÕES[SALÁRIO BASE],0,0,1)</f>
        <v>4425.3</v>
      </c>
      <c r="G87" s="58">
        <f>IF(Tb_EFETIVO[[#This Row],[TOMADOR]]="UTGC",Tb_EFETIVO[[#This Row],[SALÁRIO BASE]]*1.3,Tb_EFETIVO[[#This Row],[SALÁRIO BASE]])</f>
        <v>5752.89</v>
      </c>
      <c r="H87" s="59">
        <v>42356067</v>
      </c>
      <c r="I87" s="59" t="s">
        <v>8</v>
      </c>
      <c r="J87" s="60">
        <v>45917</v>
      </c>
      <c r="K87" s="60">
        <v>29124</v>
      </c>
      <c r="L87" s="40" t="s">
        <v>96</v>
      </c>
      <c r="M87" s="60"/>
      <c r="N87" s="61" t="str">
        <f>IF(Tb_EFETIVO[[#This Row],[DEMISSÃO]]="","ATIVO","INATIVO")</f>
        <v>ATIVO</v>
      </c>
    </row>
    <row r="88" spans="1:14" ht="15" customHeight="1" x14ac:dyDescent="0.3">
      <c r="A88" s="56">
        <f>IF(Tb_EFETIVO[[#This Row],[TOMADOR]]="",0,1)</f>
        <v>1</v>
      </c>
      <c r="B88" s="57" t="s">
        <v>31</v>
      </c>
      <c r="C88" s="57" t="str">
        <f t="shared" si="4"/>
        <v>SINTRACONST</v>
      </c>
      <c r="D88" s="57" t="s">
        <v>45</v>
      </c>
      <c r="E88" s="63" t="s">
        <v>70</v>
      </c>
      <c r="F88" s="58">
        <f>_xlfn.XLOOKUP(Tb_EFETIVO[[#This Row],[FUNÇÃO]],Tb_FUNÇÕES[RESUMO - FUNÇÕES],Tb_FUNÇÕES[SALÁRIO BASE],0,0,1)</f>
        <v>12000</v>
      </c>
      <c r="G88" s="58">
        <f>IF(Tb_EFETIVO[[#This Row],[TOMADOR]]="UTGC",Tb_EFETIVO[[#This Row],[SALÁRIO BASE]]*1.3,Tb_EFETIVO[[#This Row],[SALÁRIO BASE]])</f>
        <v>12000</v>
      </c>
      <c r="H88" s="59">
        <v>72139742</v>
      </c>
      <c r="I88" s="59" t="s">
        <v>8</v>
      </c>
      <c r="J88" s="60">
        <v>45917</v>
      </c>
      <c r="K88" s="60">
        <v>34363</v>
      </c>
      <c r="L88" s="40" t="s">
        <v>97</v>
      </c>
      <c r="M88" s="60"/>
      <c r="N88" s="61" t="str">
        <f>IF(Tb_EFETIVO[[#This Row],[DEMISSÃO]]="","ATIVO","INATIVO")</f>
        <v>ATIVO</v>
      </c>
    </row>
    <row r="89" spans="1:14" ht="15" customHeight="1" x14ac:dyDescent="0.3">
      <c r="A89" s="56">
        <f>IF(Tb_EFETIVO[[#This Row],[TOMADOR]]="",0,1)</f>
        <v>1</v>
      </c>
      <c r="B89" s="57" t="s">
        <v>30</v>
      </c>
      <c r="C89" s="57" t="str">
        <f t="shared" si="4"/>
        <v>SINTRACON</v>
      </c>
      <c r="D89" s="57" t="s">
        <v>143</v>
      </c>
      <c r="E89" s="63" t="s">
        <v>139</v>
      </c>
      <c r="F89" s="58">
        <f>_xlfn.XLOOKUP(Tb_EFETIVO[[#This Row],[FUNÇÃO]],Tb_FUNÇÕES[RESUMO - FUNÇÕES],Tb_FUNÇÕES[SALÁRIO BASE],0,0,1)</f>
        <v>3494.9</v>
      </c>
      <c r="G89" s="58">
        <f>IF(Tb_EFETIVO[[#This Row],[TOMADOR]]="UTGC",Tb_EFETIVO[[#This Row],[SALÁRIO BASE]]*1.3,Tb_EFETIVO[[#This Row],[SALÁRIO BASE]])</f>
        <v>4543.37</v>
      </c>
      <c r="H89" s="59">
        <v>72044716</v>
      </c>
      <c r="I89" s="59" t="s">
        <v>9</v>
      </c>
      <c r="J89" s="60">
        <v>45943</v>
      </c>
      <c r="K89" s="60">
        <v>33852</v>
      </c>
      <c r="L89" s="40" t="s">
        <v>161</v>
      </c>
      <c r="M89" s="60"/>
      <c r="N89" s="61" t="str">
        <f>IF(Tb_EFETIVO[[#This Row],[DEMISSÃO]]="","ATIVO","INATIVO")</f>
        <v>ATIVO</v>
      </c>
    </row>
    <row r="90" spans="1:14" ht="15" hidden="1" customHeight="1" x14ac:dyDescent="0.3">
      <c r="A90" s="56">
        <f>IF(Tb_EFETIVO[[#This Row],[TOMADOR]]="",0,1)</f>
        <v>1</v>
      </c>
      <c r="B90" s="57" t="s">
        <v>31</v>
      </c>
      <c r="C90" s="57" t="str">
        <f t="shared" si="4"/>
        <v>SINTRACONST</v>
      </c>
      <c r="D90" s="57" t="s">
        <v>164</v>
      </c>
      <c r="E90" s="63" t="s">
        <v>127</v>
      </c>
      <c r="F90" s="58">
        <f>_xlfn.XLOOKUP(Tb_EFETIVO[[#This Row],[FUNÇÃO]],Tb_FUNÇÕES[RESUMO - FUNÇÕES],Tb_FUNÇÕES[SALÁRIO BASE],0,0,1)</f>
        <v>4402.45</v>
      </c>
      <c r="G90" s="58">
        <f>IF(Tb_EFETIVO[[#This Row],[TOMADOR]]="UTGC",Tb_EFETIVO[[#This Row],[SALÁRIO BASE]]*1.3,Tb_EFETIVO[[#This Row],[SALÁRIO BASE]])</f>
        <v>4402.45</v>
      </c>
      <c r="H90" s="59">
        <v>71361681</v>
      </c>
      <c r="I90" s="59" t="s">
        <v>9</v>
      </c>
      <c r="J90" s="60">
        <v>45952</v>
      </c>
      <c r="K90" s="60">
        <v>34479</v>
      </c>
      <c r="L90" s="40">
        <v>15679453762</v>
      </c>
      <c r="M90" s="60">
        <v>46036</v>
      </c>
      <c r="N90" s="61" t="str">
        <f>IF(Tb_EFETIVO[[#This Row],[DEMISSÃO]]="","ATIVO","INATIVO")</f>
        <v>INATIVO</v>
      </c>
    </row>
    <row r="91" spans="1:14" ht="15" customHeight="1" x14ac:dyDescent="0.3">
      <c r="A91" s="56">
        <f>IF(Tb_EFETIVO[[#This Row],[TOMADOR]]="",0,1)</f>
        <v>1</v>
      </c>
      <c r="B91" s="57" t="s">
        <v>31</v>
      </c>
      <c r="C91" s="57" t="str">
        <f t="shared" si="4"/>
        <v>SINTRACONST</v>
      </c>
      <c r="D91" s="57" t="s">
        <v>167</v>
      </c>
      <c r="E91" s="63" t="s">
        <v>127</v>
      </c>
      <c r="F91" s="58">
        <f>_xlfn.XLOOKUP(Tb_EFETIVO[[#This Row],[FUNÇÃO]],Tb_FUNÇÕES[RESUMO - FUNÇÕES],Tb_FUNÇÕES[SALÁRIO BASE],0,0,1)</f>
        <v>4402.45</v>
      </c>
      <c r="G91" s="58">
        <f>IF(Tb_EFETIVO[[#This Row],[TOMADOR]]="UTGC",Tb_EFETIVO[[#This Row],[SALÁRIO BASE]]*1.3,Tb_EFETIVO[[#This Row],[SALÁRIO BASE]])</f>
        <v>4402.45</v>
      </c>
      <c r="H91" s="59">
        <v>72224715</v>
      </c>
      <c r="I91" s="59" t="s">
        <v>9</v>
      </c>
      <c r="J91" s="60">
        <v>45952</v>
      </c>
      <c r="K91" s="60">
        <v>28804</v>
      </c>
      <c r="L91" s="40" t="s">
        <v>180</v>
      </c>
      <c r="M91" s="60"/>
      <c r="N91" s="61" t="str">
        <f>IF(Tb_EFETIVO[[#This Row],[DEMISSÃO]]="","ATIVO","INATIVO")</f>
        <v>ATIVO</v>
      </c>
    </row>
    <row r="92" spans="1:14" ht="15" customHeight="1" x14ac:dyDescent="0.3">
      <c r="A92" s="62">
        <f>IF(Tb_EFETIVO[[#This Row],[TOMADOR]]="",0,1)</f>
        <v>1</v>
      </c>
      <c r="B92" s="57" t="s">
        <v>31</v>
      </c>
      <c r="C92" s="57" t="str">
        <f t="shared" si="4"/>
        <v>SINTRACONST</v>
      </c>
      <c r="D92" s="57" t="s">
        <v>226</v>
      </c>
      <c r="E92" s="63" t="s">
        <v>69</v>
      </c>
      <c r="F92" s="58">
        <f>_xlfn.XLOOKUP(Tb_EFETIVO[[#This Row],[FUNÇÃO]],Tb_FUNÇÕES[RESUMO - FUNÇÕES],Tb_FUNÇÕES[SALÁRIO BASE],0,0,1)</f>
        <v>4425.3</v>
      </c>
      <c r="G92" s="58">
        <f>IF(Tb_EFETIVO[[#This Row],[TOMADOR]]="UTGC",Tb_EFETIVO[[#This Row],[SALÁRIO BASE]]*1.3,Tb_EFETIVO[[#This Row],[SALÁRIO BASE]])</f>
        <v>4425.3</v>
      </c>
      <c r="H92" s="59">
        <v>72810894</v>
      </c>
      <c r="I92" s="59" t="s">
        <v>8</v>
      </c>
      <c r="J92" s="60">
        <v>45917</v>
      </c>
      <c r="K92" s="60">
        <v>31816</v>
      </c>
      <c r="L92" s="40" t="s">
        <v>98</v>
      </c>
      <c r="M92" s="60"/>
      <c r="N92" s="61" t="str">
        <f>IF(Tb_EFETIVO[[#This Row],[DEMISSÃO]]="","ATIVO","INATIVO")</f>
        <v>ATIVO</v>
      </c>
    </row>
    <row r="93" spans="1:14" ht="15" customHeight="1" x14ac:dyDescent="0.3">
      <c r="A93" s="62">
        <f>IF(Tb_EFETIVO[[#This Row],[TOMADOR]]="",0,1)</f>
        <v>1</v>
      </c>
      <c r="B93" s="57" t="s">
        <v>31</v>
      </c>
      <c r="C93" s="57" t="str">
        <f t="shared" si="4"/>
        <v>SINTRACONST</v>
      </c>
      <c r="D93" s="57" t="s">
        <v>66</v>
      </c>
      <c r="E93" s="63" t="s">
        <v>124</v>
      </c>
      <c r="F93" s="58">
        <f>_xlfn.XLOOKUP(Tb_EFETIVO[[#This Row],[FUNÇÃO]],Tb_FUNÇÕES[RESUMO - FUNÇÕES],Tb_FUNÇÕES[SALÁRIO BASE],0,0,1)</f>
        <v>1726.63</v>
      </c>
      <c r="G93" s="58">
        <f>IF(Tb_EFETIVO[[#This Row],[TOMADOR]]="UTGC",Tb_EFETIVO[[#This Row],[SALÁRIO BASE]]*1.3,Tb_EFETIVO[[#This Row],[SALÁRIO BASE]])</f>
        <v>1726.63</v>
      </c>
      <c r="H93" s="59">
        <v>72533721</v>
      </c>
      <c r="I93" s="59" t="s">
        <v>9</v>
      </c>
      <c r="J93" s="60">
        <v>45938</v>
      </c>
      <c r="K93" s="60">
        <v>37338</v>
      </c>
      <c r="L93" s="40" t="s">
        <v>122</v>
      </c>
      <c r="M93" s="60"/>
      <c r="N93" s="61" t="str">
        <f>IF(Tb_EFETIVO[[#This Row],[DEMISSÃO]]="","ATIVO","INATIVO")</f>
        <v>ATIVO</v>
      </c>
    </row>
    <row r="94" spans="1:14" ht="15" customHeight="1" x14ac:dyDescent="0.3">
      <c r="A94" s="56">
        <f>IF(Tb_EFETIVO[[#This Row],[TOMADOR]]="",0,1)</f>
        <v>1</v>
      </c>
      <c r="B94" s="57" t="s">
        <v>30</v>
      </c>
      <c r="C94" s="57" t="str">
        <f t="shared" si="4"/>
        <v>SINTRACON</v>
      </c>
      <c r="D94" s="57" t="s">
        <v>144</v>
      </c>
      <c r="E94" s="63" t="s">
        <v>135</v>
      </c>
      <c r="F94" s="58">
        <f>_xlfn.XLOOKUP(Tb_EFETIVO[[#This Row],[FUNÇÃO]],Tb_FUNÇÕES[RESUMO - FUNÇÕES],Tb_FUNÇÕES[SALÁRIO BASE],0,0,1)</f>
        <v>3328.48</v>
      </c>
      <c r="G94" s="58">
        <f>IF(Tb_EFETIVO[[#This Row],[TOMADOR]]="UTGC",Tb_EFETIVO[[#This Row],[SALÁRIO BASE]]*1.3,Tb_EFETIVO[[#This Row],[SALÁRIO BASE]])</f>
        <v>4327.0240000000003</v>
      </c>
      <c r="H94" s="59">
        <v>70191708</v>
      </c>
      <c r="I94" s="59" t="s">
        <v>9</v>
      </c>
      <c r="J94" s="60">
        <v>45943</v>
      </c>
      <c r="K94" s="60">
        <v>34565</v>
      </c>
      <c r="L94" s="40" t="s">
        <v>155</v>
      </c>
      <c r="M94" s="60"/>
      <c r="N94" s="61" t="str">
        <f>IF(Tb_EFETIVO[[#This Row],[DEMISSÃO]]="","ATIVO","INATIVO")</f>
        <v>ATIVO</v>
      </c>
    </row>
    <row r="95" spans="1:14" x14ac:dyDescent="0.3">
      <c r="A95" s="56">
        <f>IF(Tb_EFETIVO[[#This Row],[TOMADOR]]="",0,1)</f>
        <v>1</v>
      </c>
      <c r="B95" s="57" t="s">
        <v>30</v>
      </c>
      <c r="C95" s="57" t="str">
        <f t="shared" si="4"/>
        <v>SINTRACON</v>
      </c>
      <c r="D95" s="57" t="s">
        <v>46</v>
      </c>
      <c r="E95" s="63" t="s">
        <v>71</v>
      </c>
      <c r="F95" s="58">
        <f>_xlfn.XLOOKUP(Tb_EFETIVO[[#This Row],[FUNÇÃO]],Tb_FUNÇÕES[RESUMO - FUNÇÕES],Tb_FUNÇÕES[SALÁRIO BASE],0,0,1)</f>
        <v>6525.36</v>
      </c>
      <c r="G95" s="58">
        <f>IF(Tb_EFETIVO[[#This Row],[TOMADOR]]="UTGC",Tb_EFETIVO[[#This Row],[SALÁRIO BASE]]*1.3,Tb_EFETIVO[[#This Row],[SALÁRIO BASE]])</f>
        <v>8482.9680000000008</v>
      </c>
      <c r="H95" s="59">
        <v>40228086</v>
      </c>
      <c r="I95" s="59" t="s">
        <v>8</v>
      </c>
      <c r="J95" s="60">
        <v>45919</v>
      </c>
      <c r="K95" s="60">
        <v>23714</v>
      </c>
      <c r="L95" s="40" t="s">
        <v>99</v>
      </c>
      <c r="M95" s="60"/>
      <c r="N95" s="61" t="str">
        <f>IF(Tb_EFETIVO[[#This Row],[DEMISSÃO]]="","ATIVO","INATIVO")</f>
        <v>ATIVO</v>
      </c>
    </row>
    <row r="96" spans="1:14" x14ac:dyDescent="0.3">
      <c r="A96" s="56">
        <f>IF(Tb_EFETIVO[[#This Row],[TOMADOR]]="",0,1)</f>
        <v>1</v>
      </c>
      <c r="B96" s="57" t="s">
        <v>30</v>
      </c>
      <c r="C96" s="57" t="str">
        <f t="shared" si="4"/>
        <v>SINTRACON</v>
      </c>
      <c r="D96" s="57" t="s">
        <v>319</v>
      </c>
      <c r="E96" s="63" t="s">
        <v>6</v>
      </c>
      <c r="F96" s="58">
        <f>_xlfn.XLOOKUP(Tb_EFETIVO[[#This Row],[FUNÇÃO]],Tb_FUNÇÕES[RESUMO - FUNÇÕES],Tb_FUNÇÕES[SALÁRIO BASE],0,0,1)</f>
        <v>6525.36</v>
      </c>
      <c r="G96" s="58">
        <f>IF(Tb_EFETIVO[[#This Row],[TOMADOR]]="UTGC",Tb_EFETIVO[[#This Row],[SALÁRIO BASE]]*1.3,Tb_EFETIVO[[#This Row],[SALÁRIO BASE]])</f>
        <v>8482.9680000000008</v>
      </c>
      <c r="H96" s="59">
        <v>43011597</v>
      </c>
      <c r="I96" s="59" t="s">
        <v>8</v>
      </c>
      <c r="J96" s="60">
        <v>45919</v>
      </c>
      <c r="K96" s="60">
        <v>25666</v>
      </c>
      <c r="L96" s="40" t="s">
        <v>102</v>
      </c>
      <c r="M96" s="60"/>
      <c r="N96" s="61" t="str">
        <f>IF(Tb_EFETIVO[[#This Row],[DEMISSÃO]]="","ATIVO","INATIVO")</f>
        <v>ATIVO</v>
      </c>
    </row>
    <row r="97" spans="1:14" ht="15" customHeight="1" x14ac:dyDescent="0.3">
      <c r="A97" s="56">
        <f>IF(Tb_EFETIVO[[#This Row],[TOMADOR]]="",0,1)</f>
        <v>1</v>
      </c>
      <c r="B97" s="57" t="s">
        <v>30</v>
      </c>
      <c r="C97" s="57" t="str">
        <f t="shared" si="4"/>
        <v>SINTRACON</v>
      </c>
      <c r="D97" s="57" t="s">
        <v>174</v>
      </c>
      <c r="E97" s="63" t="s">
        <v>74</v>
      </c>
      <c r="F97" s="58">
        <f>_xlfn.XLOOKUP(Tb_EFETIVO[[#This Row],[FUNÇÃO]],Tb_FUNÇÕES[RESUMO - FUNÇÕES],Tb_FUNÇÕES[SALÁRIO BASE],0,0,1)</f>
        <v>3000</v>
      </c>
      <c r="G97" s="58">
        <f>IF(Tb_EFETIVO[[#This Row],[TOMADOR]]="UTGC",Tb_EFETIVO[[#This Row],[SALÁRIO BASE]]*1.3,Tb_EFETIVO[[#This Row],[SALÁRIO BASE]])</f>
        <v>3900</v>
      </c>
      <c r="H97" s="59">
        <v>72848706</v>
      </c>
      <c r="I97" s="59" t="s">
        <v>8</v>
      </c>
      <c r="J97" s="60">
        <v>45950</v>
      </c>
      <c r="K97" s="60">
        <v>35528</v>
      </c>
      <c r="L97" s="40" t="s">
        <v>176</v>
      </c>
      <c r="M97" s="60"/>
      <c r="N97" s="61" t="str">
        <f>IF(Tb_EFETIVO[[#This Row],[DEMISSÃO]]="","ATIVO","INATIVO")</f>
        <v>ATIVO</v>
      </c>
    </row>
    <row r="98" spans="1:14" ht="15" customHeight="1" x14ac:dyDescent="0.3">
      <c r="A98" s="62">
        <f>IF(Tb_EFETIVO[[#This Row],[TOMADOR]]="",0,1)</f>
        <v>1</v>
      </c>
      <c r="B98" s="57" t="s">
        <v>30</v>
      </c>
      <c r="C98" s="57" t="str">
        <f t="shared" si="4"/>
        <v>SINTRACON</v>
      </c>
      <c r="D98" s="57" t="s">
        <v>296</v>
      </c>
      <c r="E98" s="63" t="s">
        <v>379</v>
      </c>
      <c r="F98" s="58">
        <v>1726.63</v>
      </c>
      <c r="G98" s="58">
        <f>IF(Tb_EFETIVO[[#This Row],[TOMADOR]]="UTGC",Tb_EFETIVO[[#This Row],[SALÁRIO BASE]]*1.3,Tb_EFETIVO[[#This Row],[SALÁRIO BASE]])</f>
        <v>2244.6190000000001</v>
      </c>
      <c r="H98" s="59">
        <v>46261094</v>
      </c>
      <c r="I98" s="59" t="s">
        <v>9</v>
      </c>
      <c r="J98" s="60">
        <v>46055</v>
      </c>
      <c r="K98" s="60">
        <v>33115</v>
      </c>
      <c r="L98" s="40" t="s">
        <v>300</v>
      </c>
      <c r="M98" s="60"/>
      <c r="N98" s="61" t="str">
        <f>IF(Tb_EFETIVO[[#This Row],[DEMISSÃO]]="","ATIVO","INATIVO")</f>
        <v>ATIVO</v>
      </c>
    </row>
    <row r="99" spans="1:14" ht="15" customHeight="1" thickBot="1" x14ac:dyDescent="0.35">
      <c r="A99" s="100">
        <f>IF(Tb_EFETIVO[[#This Row],[TOMADOR]]="",0,1)</f>
        <v>1</v>
      </c>
      <c r="B99" s="57" t="s">
        <v>30</v>
      </c>
      <c r="C99" s="57" t="str">
        <f t="shared" si="4"/>
        <v>SINTRACON</v>
      </c>
      <c r="D99" s="57" t="s">
        <v>47</v>
      </c>
      <c r="E99" s="63" t="s">
        <v>69</v>
      </c>
      <c r="F99" s="58">
        <f>_xlfn.XLOOKUP(Tb_EFETIVO[[#This Row],[FUNÇÃO]],Tb_FUNÇÕES[RESUMO - FUNÇÕES],Tb_FUNÇÕES[SALÁRIO BASE],0,0,1)</f>
        <v>4425.3</v>
      </c>
      <c r="G99" s="58">
        <f>IF(Tb_EFETIVO[[#This Row],[TOMADOR]]="UTGC",Tb_EFETIVO[[#This Row],[SALÁRIO BASE]]*1.3,Tb_EFETIVO[[#This Row],[SALÁRIO BASE]])</f>
        <v>5752.89</v>
      </c>
      <c r="H99" s="59">
        <v>72736966</v>
      </c>
      <c r="I99" s="59" t="s">
        <v>8</v>
      </c>
      <c r="J99" s="60">
        <v>45917</v>
      </c>
      <c r="K99" s="60">
        <v>35843</v>
      </c>
      <c r="L99" s="40" t="s">
        <v>100</v>
      </c>
      <c r="M99" s="60"/>
      <c r="N99" s="61" t="str">
        <f>IF(Tb_EFETIVO[[#This Row],[DEMISSÃO]]="","ATIVO","INATIVO")</f>
        <v>ATIVO</v>
      </c>
    </row>
    <row r="100" spans="1:14" ht="14.25" customHeight="1" x14ac:dyDescent="0.3">
      <c r="A100" s="56">
        <f>IF(Tb_EFETIVO[[#This Row],[TOMADOR]]="",0,1)</f>
        <v>1</v>
      </c>
      <c r="B100" s="57" t="s">
        <v>30</v>
      </c>
      <c r="C100" s="57" t="str">
        <f t="shared" si="4"/>
        <v>SINTRACON</v>
      </c>
      <c r="D100" s="57" t="s">
        <v>147</v>
      </c>
      <c r="E100" s="63" t="s">
        <v>125</v>
      </c>
      <c r="F100" s="58">
        <f>_xlfn.XLOOKUP(Tb_EFETIVO[[#This Row],[FUNÇÃO]],Tb_FUNÇÕES[RESUMO - FUNÇÕES],Tb_FUNÇÕES[SALÁRIO BASE],0,0,1)</f>
        <v>3328.48</v>
      </c>
      <c r="G100" s="58">
        <f>IF(Tb_EFETIVO[[#This Row],[TOMADOR]]="UTGC",Tb_EFETIVO[[#This Row],[SALÁRIO BASE]]*1.3,Tb_EFETIVO[[#This Row],[SALÁRIO BASE]])</f>
        <v>4327.0240000000003</v>
      </c>
      <c r="H100" s="59">
        <v>44351196</v>
      </c>
      <c r="I100" s="59" t="s">
        <v>9</v>
      </c>
      <c r="J100" s="60">
        <v>45943</v>
      </c>
      <c r="K100" s="60">
        <v>30900</v>
      </c>
      <c r="L100" s="40" t="s">
        <v>156</v>
      </c>
      <c r="M100" s="60"/>
      <c r="N100" s="61" t="str">
        <f>IF(Tb_EFETIVO[[#This Row],[DEMISSÃO]]="","ATIVO","INATIVO")</f>
        <v>ATIVO</v>
      </c>
    </row>
    <row r="101" spans="1:14" hidden="1" x14ac:dyDescent="0.3">
      <c r="A101" s="56">
        <f>IF(Tb_EFETIVO[[#This Row],[TOMADOR]]="",0,1)</f>
        <v>1</v>
      </c>
      <c r="B101" s="57" t="s">
        <v>31</v>
      </c>
      <c r="C101" s="57" t="str">
        <f t="shared" si="4"/>
        <v>SINTRACONST</v>
      </c>
      <c r="D101" s="57" t="s">
        <v>168</v>
      </c>
      <c r="E101" s="63" t="s">
        <v>124</v>
      </c>
      <c r="F101" s="58">
        <f>_xlfn.XLOOKUP(Tb_EFETIVO[[#This Row],[FUNÇÃO]],Tb_FUNÇÕES[RESUMO - FUNÇÕES],Tb_FUNÇÕES[SALÁRIO BASE],0,0,1)</f>
        <v>1726.63</v>
      </c>
      <c r="G101" s="58">
        <f>IF(Tb_EFETIVO[[#This Row],[TOMADOR]]="UTGC",Tb_EFETIVO[[#This Row],[SALÁRIO BASE]]*1.3,Tb_EFETIVO[[#This Row],[SALÁRIO BASE]])</f>
        <v>1726.63</v>
      </c>
      <c r="H101" s="59">
        <v>71237669</v>
      </c>
      <c r="I101" s="59" t="s">
        <v>9</v>
      </c>
      <c r="J101" s="60">
        <v>45952</v>
      </c>
      <c r="K101" s="60">
        <v>30325</v>
      </c>
      <c r="L101" s="40" t="s">
        <v>178</v>
      </c>
      <c r="M101" s="60">
        <v>45965</v>
      </c>
      <c r="N101" s="61" t="str">
        <f>IF(Tb_EFETIVO[[#This Row],[DEMISSÃO]]="","ATIVO","INATIVO")</f>
        <v>INATIVO</v>
      </c>
    </row>
    <row r="102" spans="1:14" hidden="1" x14ac:dyDescent="0.3">
      <c r="A102" s="56">
        <f>IF(Tb_EFETIVO[[#This Row],[TOMADOR]]="",0,1)</f>
        <v>1</v>
      </c>
      <c r="B102" s="57" t="s">
        <v>30</v>
      </c>
      <c r="C102" s="57" t="str">
        <f t="shared" si="4"/>
        <v>SINTRACON</v>
      </c>
      <c r="D102" s="57" t="s">
        <v>224</v>
      </c>
      <c r="E102" s="63" t="s">
        <v>139</v>
      </c>
      <c r="F102" s="58">
        <f>_xlfn.XLOOKUP(Tb_EFETIVO[[#This Row],[FUNÇÃO]],Tb_FUNÇÕES[RESUMO - FUNÇÕES],Tb_FUNÇÕES[SALÁRIO BASE],0,0,1)</f>
        <v>3494.9</v>
      </c>
      <c r="G102" s="58">
        <f>IF(Tb_EFETIVO[[#This Row],[TOMADOR]]="UTGC",Tb_EFETIVO[[#This Row],[SALÁRIO BASE]]*1.3,Tb_EFETIVO[[#This Row],[SALÁRIO BASE]])</f>
        <v>4543.37</v>
      </c>
      <c r="H102" s="59">
        <v>71964295</v>
      </c>
      <c r="I102" s="59" t="s">
        <v>9</v>
      </c>
      <c r="J102" s="60">
        <v>45978</v>
      </c>
      <c r="K102" s="60">
        <v>32971</v>
      </c>
      <c r="L102" s="40" t="s">
        <v>225</v>
      </c>
      <c r="M102" s="60">
        <v>46036</v>
      </c>
      <c r="N102" s="61" t="str">
        <f>IF(Tb_EFETIVO[[#This Row],[DEMISSÃO]]="","ATIVO","INATIVO")</f>
        <v>INATIVO</v>
      </c>
    </row>
    <row r="103" spans="1:14" x14ac:dyDescent="0.3">
      <c r="A103" s="99">
        <f>IF(Tb_EFETIVO[[#This Row],[TOMADOR]]="",0,1)</f>
        <v>1</v>
      </c>
      <c r="B103" s="57" t="s">
        <v>30</v>
      </c>
      <c r="C103" s="57" t="str">
        <f t="shared" si="4"/>
        <v>SINTRACON</v>
      </c>
      <c r="D103" s="57" t="s">
        <v>60</v>
      </c>
      <c r="E103" s="63" t="s">
        <v>72</v>
      </c>
      <c r="F103" s="58">
        <f>_xlfn.XLOOKUP(Tb_EFETIVO[[#This Row],[FUNÇÃO]],Tb_FUNÇÕES[RESUMO - FUNÇÕES],Tb_FUNÇÕES[SALÁRIO BASE],0,0,1)</f>
        <v>12000</v>
      </c>
      <c r="G103" s="58">
        <f>IF(Tb_EFETIVO[[#This Row],[TOMADOR]]="UTGC",Tb_EFETIVO[[#This Row],[SALÁRIO BASE]]*1.3,Tb_EFETIVO[[#This Row],[SALÁRIO BASE]])</f>
        <v>15600</v>
      </c>
      <c r="H103" s="59">
        <v>72823110</v>
      </c>
      <c r="I103" s="59" t="s">
        <v>8</v>
      </c>
      <c r="J103" s="60">
        <v>45931</v>
      </c>
      <c r="K103" s="60">
        <v>27529</v>
      </c>
      <c r="L103" s="40" t="s">
        <v>116</v>
      </c>
      <c r="M103" s="60"/>
      <c r="N103" s="61" t="str">
        <f>IF(Tb_EFETIVO[[#This Row],[DEMISSÃO]]="","ATIVO","INATIVO")</f>
        <v>ATIVO</v>
      </c>
    </row>
    <row r="104" spans="1:14" hidden="1" x14ac:dyDescent="0.3">
      <c r="A104" s="56">
        <f>IF(Tb_EFETIVO[[#This Row],[TOMADOR]]="",0,1)</f>
        <v>1</v>
      </c>
      <c r="B104" s="57" t="s">
        <v>30</v>
      </c>
      <c r="C104" s="57" t="str">
        <f t="shared" ref="C104:C108" si="5">IF(B104="UTGC","SINTRACON",IF(B104="EDIVIT","SINTRACONST",""))</f>
        <v>SINTRACON</v>
      </c>
      <c r="D104" s="57" t="s">
        <v>61</v>
      </c>
      <c r="E104" s="63" t="s">
        <v>124</v>
      </c>
      <c r="F104" s="58">
        <f>_xlfn.XLOOKUP(Tb_EFETIVO[[#This Row],[FUNÇÃO]],Tb_FUNÇÕES[RESUMO - FUNÇÕES],Tb_FUNÇÕES[SALÁRIO BASE],0,0,1)</f>
        <v>1726.63</v>
      </c>
      <c r="G104" s="58">
        <f>IF(Tb_EFETIVO[[#This Row],[TOMADOR]]="UTGC",Tb_EFETIVO[[#This Row],[SALÁRIO BASE]]*1.3,Tb_EFETIVO[[#This Row],[SALÁRIO BASE]])</f>
        <v>2244.6190000000001</v>
      </c>
      <c r="H104" s="59">
        <v>72824930</v>
      </c>
      <c r="I104" s="59" t="s">
        <v>9</v>
      </c>
      <c r="J104" s="60">
        <v>45931</v>
      </c>
      <c r="K104" s="60">
        <v>34515</v>
      </c>
      <c r="L104" s="40" t="s">
        <v>117</v>
      </c>
      <c r="M104" s="60">
        <v>46087</v>
      </c>
      <c r="N104" s="61" t="str">
        <f>IF(Tb_EFETIVO[[#This Row],[DEMISSÃO]]="","ATIVO","INATIVO")</f>
        <v>INATIVO</v>
      </c>
    </row>
    <row r="105" spans="1:14" x14ac:dyDescent="0.3">
      <c r="A105" s="56">
        <f>IF(Tb_EFETIVO[[#This Row],[TOMADOR]]="",0,1)</f>
        <v>1</v>
      </c>
      <c r="B105" s="57" t="s">
        <v>30</v>
      </c>
      <c r="C105" s="57" t="str">
        <f t="shared" si="5"/>
        <v>SINTRACON</v>
      </c>
      <c r="D105" s="57" t="s">
        <v>145</v>
      </c>
      <c r="E105" s="63" t="s">
        <v>128</v>
      </c>
      <c r="F105" s="58">
        <f>_xlfn.XLOOKUP(Tb_EFETIVO[[#This Row],[FUNÇÃO]],Tb_FUNÇÕES[RESUMO - FUNÇÕES],Tb_FUNÇÕES[SALÁRIO BASE],0,0,1)</f>
        <v>4622.57</v>
      </c>
      <c r="G105" s="58">
        <f>IF(Tb_EFETIVO[[#This Row],[TOMADOR]]="UTGC",Tb_EFETIVO[[#This Row],[SALÁRIO BASE]]*1.3,Tb_EFETIVO[[#This Row],[SALÁRIO BASE]])</f>
        <v>6009.3409999999994</v>
      </c>
      <c r="H105" s="59">
        <v>71492331</v>
      </c>
      <c r="I105" s="59" t="s">
        <v>9</v>
      </c>
      <c r="J105" s="60">
        <v>45943</v>
      </c>
      <c r="K105" s="60">
        <v>37806</v>
      </c>
      <c r="L105" s="40" t="s">
        <v>162</v>
      </c>
      <c r="M105" s="60"/>
      <c r="N105" s="61" t="str">
        <f>IF(Tb_EFETIVO[[#This Row],[DEMISSÃO]]="","ATIVO","INATIVO")</f>
        <v>ATIVO</v>
      </c>
    </row>
    <row r="106" spans="1:14" x14ac:dyDescent="0.3">
      <c r="A106" s="62">
        <f>IF(Tb_EFETIVO[[#This Row],[TOMADOR]]="",0,1)</f>
        <v>1</v>
      </c>
      <c r="B106" s="57" t="s">
        <v>30</v>
      </c>
      <c r="C106" s="57" t="str">
        <f t="shared" si="5"/>
        <v>SINTRACON</v>
      </c>
      <c r="D106" s="57" t="s">
        <v>297</v>
      </c>
      <c r="E106" s="63" t="s">
        <v>139</v>
      </c>
      <c r="F106" s="58">
        <v>3494.9</v>
      </c>
      <c r="G106" s="58">
        <f>IF(Tb_EFETIVO[[#This Row],[TOMADOR]]="UTGC",Tb_EFETIVO[[#This Row],[SALÁRIO BASE]]*1.3,Tb_EFETIVO[[#This Row],[SALÁRIO BASE]])</f>
        <v>4543.37</v>
      </c>
      <c r="H106" s="59">
        <v>70851291</v>
      </c>
      <c r="I106" s="59" t="s">
        <v>9</v>
      </c>
      <c r="J106" s="60">
        <v>46055</v>
      </c>
      <c r="K106" s="60">
        <v>33723</v>
      </c>
      <c r="L106" s="40" t="s">
        <v>301</v>
      </c>
      <c r="M106" s="60"/>
      <c r="N106" s="61" t="str">
        <f>IF(Tb_EFETIVO[[#This Row],[DEMISSÃO]]="","ATIVO","INATIVO")</f>
        <v>ATIVO</v>
      </c>
    </row>
    <row r="107" spans="1:14" x14ac:dyDescent="0.3">
      <c r="A107" s="56">
        <f>IF(Tb_EFETIVO[[#This Row],[TOMADOR]]="",0,1)</f>
        <v>1</v>
      </c>
      <c r="B107" s="57" t="s">
        <v>30</v>
      </c>
      <c r="C107" s="57" t="str">
        <f t="shared" si="5"/>
        <v>SINTRACON</v>
      </c>
      <c r="D107" s="57" t="s">
        <v>146</v>
      </c>
      <c r="E107" s="57" t="s">
        <v>125</v>
      </c>
      <c r="F107" s="58">
        <f>_xlfn.XLOOKUP(Tb_EFETIVO[[#This Row],[FUNÇÃO]],Tb_FUNÇÕES[RESUMO - FUNÇÕES],Tb_FUNÇÕES[SALÁRIO BASE],0,0,1)</f>
        <v>3328.48</v>
      </c>
      <c r="G107" s="58">
        <f>IF(Tb_EFETIVO[[#This Row],[TOMADOR]]="UTGC",Tb_EFETIVO[[#This Row],[SALÁRIO BASE]]*1.3,Tb_EFETIVO[[#This Row],[SALÁRIO BASE]])</f>
        <v>4327.0240000000003</v>
      </c>
      <c r="H107" s="59">
        <v>70762595</v>
      </c>
      <c r="I107" s="59" t="s">
        <v>9</v>
      </c>
      <c r="J107" s="60">
        <v>45943</v>
      </c>
      <c r="K107" s="60">
        <v>33563</v>
      </c>
      <c r="L107" s="40" t="s">
        <v>177</v>
      </c>
      <c r="M107" s="60"/>
      <c r="N107" s="61" t="str">
        <f>IF(Tb_EFETIVO[[#This Row],[DEMISSÃO]]="","ATIVO","INATIVO")</f>
        <v>ATIVO</v>
      </c>
    </row>
    <row r="108" spans="1:14" x14ac:dyDescent="0.3">
      <c r="A108" s="56">
        <f>IF(Tb_EFETIVO[[#This Row],[TOMADOR]]="",0,1)</f>
        <v>1</v>
      </c>
      <c r="B108" s="57" t="s">
        <v>30</v>
      </c>
      <c r="C108" s="57" t="str">
        <f t="shared" si="5"/>
        <v>SINTRACON</v>
      </c>
      <c r="D108" s="57" t="s">
        <v>78</v>
      </c>
      <c r="E108" s="57" t="s">
        <v>79</v>
      </c>
      <c r="F108" s="58">
        <v>0</v>
      </c>
      <c r="G108" s="58">
        <f>IF(Tb_EFETIVO[[#This Row],[TOMADOR]]="UTGC",Tb_EFETIVO[[#This Row],[SALÁRIO BASE]]*1.3,Tb_EFETIVO[[#This Row],[SALÁRIO BASE]])</f>
        <v>0</v>
      </c>
      <c r="H108" s="59">
        <v>71069577</v>
      </c>
      <c r="I108" s="59" t="s">
        <v>8</v>
      </c>
      <c r="J108" s="60">
        <v>45909</v>
      </c>
      <c r="K108" s="60">
        <v>35047</v>
      </c>
      <c r="L108" s="40" t="s">
        <v>101</v>
      </c>
      <c r="M108" s="60"/>
      <c r="N108" s="61" t="str">
        <f>IF(Tb_EFETIVO[[#This Row],[DEMISSÃO]]="","ATIVO","INATIVO")</f>
        <v>ATIVO</v>
      </c>
    </row>
    <row r="109" spans="1:14" x14ac:dyDescent="0.3"/>
    <row r="110" spans="1:14" x14ac:dyDescent="0.3"/>
    <row r="111" spans="1:14" x14ac:dyDescent="0.3"/>
    <row r="112" spans="1:14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x14ac:dyDescent="0.3"/>
    <row r="270" x14ac:dyDescent="0.3"/>
    <row r="271" x14ac:dyDescent="0.3"/>
    <row r="272" x14ac:dyDescent="0.3"/>
    <row r="273" x14ac:dyDescent="0.3"/>
    <row r="274" x14ac:dyDescent="0.3"/>
    <row r="275" x14ac:dyDescent="0.3"/>
    <row r="276" x14ac:dyDescent="0.3"/>
    <row r="277" x14ac:dyDescent="0.3"/>
    <row r="278" x14ac:dyDescent="0.3"/>
    <row r="279" x14ac:dyDescent="0.3"/>
    <row r="280" x14ac:dyDescent="0.3"/>
    <row r="281" x14ac:dyDescent="0.3"/>
    <row r="282" x14ac:dyDescent="0.3"/>
    <row r="283" x14ac:dyDescent="0.3"/>
    <row r="284" x14ac:dyDescent="0.3"/>
    <row r="285" x14ac:dyDescent="0.3"/>
    <row r="286" x14ac:dyDescent="0.3"/>
    <row r="287" x14ac:dyDescent="0.3"/>
    <row r="288" x14ac:dyDescent="0.3"/>
    <row r="289" x14ac:dyDescent="0.3"/>
    <row r="290" x14ac:dyDescent="0.3"/>
    <row r="291" x14ac:dyDescent="0.3"/>
    <row r="292" x14ac:dyDescent="0.3"/>
    <row r="293" x14ac:dyDescent="0.3"/>
    <row r="294" x14ac:dyDescent="0.3"/>
    <row r="295" x14ac:dyDescent="0.3"/>
    <row r="296" x14ac:dyDescent="0.3"/>
    <row r="297" x14ac:dyDescent="0.3"/>
    <row r="298" x14ac:dyDescent="0.3"/>
    <row r="299" x14ac:dyDescent="0.3"/>
    <row r="300" x14ac:dyDescent="0.3"/>
    <row r="301" x14ac:dyDescent="0.3"/>
    <row r="302" x14ac:dyDescent="0.3"/>
    <row r="303" x14ac:dyDescent="0.3"/>
    <row r="304" x14ac:dyDescent="0.3"/>
    <row r="305" x14ac:dyDescent="0.3"/>
    <row r="306" x14ac:dyDescent="0.3"/>
    <row r="307" x14ac:dyDescent="0.3"/>
    <row r="308" x14ac:dyDescent="0.3"/>
    <row r="309" x14ac:dyDescent="0.3"/>
    <row r="310" x14ac:dyDescent="0.3"/>
    <row r="311" x14ac:dyDescent="0.3"/>
    <row r="312" x14ac:dyDescent="0.3"/>
    <row r="313" x14ac:dyDescent="0.3"/>
    <row r="314" x14ac:dyDescent="0.3"/>
    <row r="315" x14ac:dyDescent="0.3"/>
    <row r="316" x14ac:dyDescent="0.3"/>
    <row r="317" x14ac:dyDescent="0.3"/>
    <row r="318" x14ac:dyDescent="0.3"/>
    <row r="319" x14ac:dyDescent="0.3"/>
    <row r="320" x14ac:dyDescent="0.3"/>
    <row r="321" x14ac:dyDescent="0.3"/>
    <row r="322" x14ac:dyDescent="0.3"/>
    <row r="323" x14ac:dyDescent="0.3"/>
    <row r="324" x14ac:dyDescent="0.3"/>
    <row r="325" x14ac:dyDescent="0.3"/>
    <row r="326" x14ac:dyDescent="0.3"/>
    <row r="327" x14ac:dyDescent="0.3"/>
    <row r="328" x14ac:dyDescent="0.3"/>
    <row r="329" x14ac:dyDescent="0.3"/>
    <row r="330" x14ac:dyDescent="0.3"/>
    <row r="331" x14ac:dyDescent="0.3"/>
    <row r="332" x14ac:dyDescent="0.3"/>
    <row r="333" x14ac:dyDescent="0.3"/>
    <row r="334" x14ac:dyDescent="0.3"/>
    <row r="335" x14ac:dyDescent="0.3"/>
    <row r="336" x14ac:dyDescent="0.3"/>
    <row r="337" x14ac:dyDescent="0.3"/>
    <row r="338" x14ac:dyDescent="0.3"/>
    <row r="339" x14ac:dyDescent="0.3"/>
    <row r="340" x14ac:dyDescent="0.3"/>
    <row r="341" x14ac:dyDescent="0.3"/>
    <row r="342" x14ac:dyDescent="0.3"/>
    <row r="343" x14ac:dyDescent="0.3"/>
    <row r="344" x14ac:dyDescent="0.3"/>
    <row r="345" x14ac:dyDescent="0.3"/>
    <row r="346" x14ac:dyDescent="0.3"/>
    <row r="347" x14ac:dyDescent="0.3"/>
    <row r="348" x14ac:dyDescent="0.3"/>
    <row r="349" x14ac:dyDescent="0.3"/>
    <row r="350" x14ac:dyDescent="0.3"/>
    <row r="351" x14ac:dyDescent="0.3"/>
    <row r="352" x14ac:dyDescent="0.3"/>
    <row r="353" x14ac:dyDescent="0.3"/>
    <row r="354" x14ac:dyDescent="0.3"/>
    <row r="355" x14ac:dyDescent="0.3"/>
    <row r="356" x14ac:dyDescent="0.3"/>
    <row r="357" x14ac:dyDescent="0.3"/>
    <row r="358" x14ac:dyDescent="0.3"/>
    <row r="359" x14ac:dyDescent="0.3"/>
    <row r="360" x14ac:dyDescent="0.3"/>
    <row r="361" x14ac:dyDescent="0.3"/>
    <row r="362" x14ac:dyDescent="0.3"/>
    <row r="363" x14ac:dyDescent="0.3"/>
    <row r="364" x14ac:dyDescent="0.3"/>
    <row r="365" x14ac:dyDescent="0.3"/>
    <row r="366" x14ac:dyDescent="0.3"/>
    <row r="367" x14ac:dyDescent="0.3"/>
    <row r="368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7" x14ac:dyDescent="0.3"/>
    <row r="408" x14ac:dyDescent="0.3"/>
    <row r="409" x14ac:dyDescent="0.3"/>
    <row r="410" x14ac:dyDescent="0.3"/>
    <row r="411" x14ac:dyDescent="0.3"/>
    <row r="412" x14ac:dyDescent="0.3"/>
    <row r="413" x14ac:dyDescent="0.3"/>
    <row r="414" x14ac:dyDescent="0.3"/>
    <row r="415" x14ac:dyDescent="0.3"/>
    <row r="416" x14ac:dyDescent="0.3"/>
    <row r="417" x14ac:dyDescent="0.3"/>
    <row r="418" x14ac:dyDescent="0.3"/>
    <row r="419" x14ac:dyDescent="0.3"/>
    <row r="420" x14ac:dyDescent="0.3"/>
    <row r="421" x14ac:dyDescent="0.3"/>
    <row r="422" x14ac:dyDescent="0.3"/>
    <row r="423" x14ac:dyDescent="0.3"/>
    <row r="424" x14ac:dyDescent="0.3"/>
    <row r="425" x14ac:dyDescent="0.3"/>
    <row r="426" x14ac:dyDescent="0.3"/>
    <row r="427" x14ac:dyDescent="0.3"/>
    <row r="428" x14ac:dyDescent="0.3"/>
    <row r="429" x14ac:dyDescent="0.3"/>
    <row r="430" x14ac:dyDescent="0.3"/>
    <row r="431" x14ac:dyDescent="0.3"/>
    <row r="432" x14ac:dyDescent="0.3"/>
    <row r="433" x14ac:dyDescent="0.3"/>
    <row r="434" x14ac:dyDescent="0.3"/>
    <row r="435" x14ac:dyDescent="0.3"/>
    <row r="436" x14ac:dyDescent="0.3"/>
    <row r="437" x14ac:dyDescent="0.3"/>
    <row r="438" x14ac:dyDescent="0.3"/>
    <row r="439" x14ac:dyDescent="0.3"/>
    <row r="440" x14ac:dyDescent="0.3"/>
    <row r="441" x14ac:dyDescent="0.3"/>
    <row r="442" x14ac:dyDescent="0.3"/>
    <row r="443" x14ac:dyDescent="0.3"/>
    <row r="444" x14ac:dyDescent="0.3"/>
    <row r="445" x14ac:dyDescent="0.3"/>
    <row r="446" x14ac:dyDescent="0.3"/>
    <row r="447" x14ac:dyDescent="0.3"/>
    <row r="448" x14ac:dyDescent="0.3"/>
    <row r="449" x14ac:dyDescent="0.3"/>
    <row r="450" x14ac:dyDescent="0.3"/>
    <row r="451" x14ac:dyDescent="0.3"/>
    <row r="452" x14ac:dyDescent="0.3"/>
    <row r="453" x14ac:dyDescent="0.3"/>
    <row r="454" x14ac:dyDescent="0.3"/>
    <row r="455" x14ac:dyDescent="0.3"/>
    <row r="456" x14ac:dyDescent="0.3"/>
    <row r="457" x14ac:dyDescent="0.3"/>
    <row r="458" x14ac:dyDescent="0.3"/>
    <row r="459" x14ac:dyDescent="0.3"/>
    <row r="460" x14ac:dyDescent="0.3"/>
    <row r="461" x14ac:dyDescent="0.3"/>
    <row r="462" x14ac:dyDescent="0.3"/>
    <row r="463" x14ac:dyDescent="0.3"/>
    <row r="464" x14ac:dyDescent="0.3"/>
    <row r="465" x14ac:dyDescent="0.3"/>
    <row r="466" x14ac:dyDescent="0.3"/>
    <row r="467" x14ac:dyDescent="0.3"/>
    <row r="468" x14ac:dyDescent="0.3"/>
    <row r="469" x14ac:dyDescent="0.3"/>
    <row r="470" x14ac:dyDescent="0.3"/>
    <row r="471" x14ac:dyDescent="0.3"/>
    <row r="472" x14ac:dyDescent="0.3"/>
    <row r="473" x14ac:dyDescent="0.3"/>
    <row r="474" x14ac:dyDescent="0.3"/>
    <row r="475" x14ac:dyDescent="0.3"/>
    <row r="476" x14ac:dyDescent="0.3"/>
    <row r="477" x14ac:dyDescent="0.3"/>
    <row r="478" x14ac:dyDescent="0.3"/>
    <row r="479" x14ac:dyDescent="0.3"/>
    <row r="480" x14ac:dyDescent="0.3"/>
    <row r="481" x14ac:dyDescent="0.3"/>
    <row r="482" x14ac:dyDescent="0.3"/>
    <row r="483" x14ac:dyDescent="0.3"/>
    <row r="484" x14ac:dyDescent="0.3"/>
    <row r="485" x14ac:dyDescent="0.3"/>
    <row r="486" x14ac:dyDescent="0.3"/>
    <row r="487" x14ac:dyDescent="0.3"/>
    <row r="488" x14ac:dyDescent="0.3"/>
    <row r="489" x14ac:dyDescent="0.3"/>
    <row r="490" x14ac:dyDescent="0.3"/>
    <row r="491" x14ac:dyDescent="0.3"/>
    <row r="492" x14ac:dyDescent="0.3"/>
    <row r="493" x14ac:dyDescent="0.3"/>
    <row r="494" x14ac:dyDescent="0.3"/>
    <row r="495" x14ac:dyDescent="0.3"/>
    <row r="496" x14ac:dyDescent="0.3"/>
    <row r="497" x14ac:dyDescent="0.3"/>
    <row r="498" x14ac:dyDescent="0.3"/>
    <row r="499" x14ac:dyDescent="0.3"/>
    <row r="500" x14ac:dyDescent="0.3"/>
    <row r="501" x14ac:dyDescent="0.3"/>
    <row r="502" x14ac:dyDescent="0.3"/>
    <row r="503" x14ac:dyDescent="0.3"/>
    <row r="504" x14ac:dyDescent="0.3"/>
    <row r="505" x14ac:dyDescent="0.3"/>
    <row r="506" x14ac:dyDescent="0.3"/>
    <row r="507" x14ac:dyDescent="0.3"/>
    <row r="508" x14ac:dyDescent="0.3"/>
    <row r="509" x14ac:dyDescent="0.3"/>
    <row r="510" x14ac:dyDescent="0.3"/>
    <row r="511" x14ac:dyDescent="0.3"/>
    <row r="512" x14ac:dyDescent="0.3"/>
    <row r="513" x14ac:dyDescent="0.3"/>
    <row r="514" x14ac:dyDescent="0.3"/>
    <row r="515" x14ac:dyDescent="0.3"/>
    <row r="516" x14ac:dyDescent="0.3"/>
    <row r="517" x14ac:dyDescent="0.3"/>
    <row r="518" x14ac:dyDescent="0.3"/>
    <row r="519" x14ac:dyDescent="0.3"/>
    <row r="520" x14ac:dyDescent="0.3"/>
    <row r="521" x14ac:dyDescent="0.3"/>
    <row r="522" x14ac:dyDescent="0.3"/>
    <row r="523" x14ac:dyDescent="0.3"/>
    <row r="524" x14ac:dyDescent="0.3"/>
    <row r="525" x14ac:dyDescent="0.3"/>
    <row r="526" x14ac:dyDescent="0.3"/>
    <row r="527" x14ac:dyDescent="0.3"/>
    <row r="528" x14ac:dyDescent="0.3"/>
    <row r="529" x14ac:dyDescent="0.3"/>
    <row r="530" x14ac:dyDescent="0.3"/>
    <row r="531" x14ac:dyDescent="0.3"/>
    <row r="532" x14ac:dyDescent="0.3"/>
    <row r="533" x14ac:dyDescent="0.3"/>
    <row r="534" x14ac:dyDescent="0.3"/>
    <row r="535" x14ac:dyDescent="0.3"/>
    <row r="536" x14ac:dyDescent="0.3"/>
    <row r="537" x14ac:dyDescent="0.3"/>
    <row r="538" x14ac:dyDescent="0.3"/>
    <row r="539" x14ac:dyDescent="0.3"/>
    <row r="540" x14ac:dyDescent="0.3"/>
    <row r="541" x14ac:dyDescent="0.3"/>
    <row r="542" x14ac:dyDescent="0.3"/>
    <row r="543" x14ac:dyDescent="0.3"/>
    <row r="544" x14ac:dyDescent="0.3"/>
    <row r="545" x14ac:dyDescent="0.3"/>
    <row r="546" x14ac:dyDescent="0.3"/>
    <row r="547" x14ac:dyDescent="0.3"/>
    <row r="548" x14ac:dyDescent="0.3"/>
    <row r="549" x14ac:dyDescent="0.3"/>
    <row r="550" x14ac:dyDescent="0.3"/>
    <row r="551" x14ac:dyDescent="0.3"/>
    <row r="552" x14ac:dyDescent="0.3"/>
    <row r="553" x14ac:dyDescent="0.3"/>
    <row r="554" x14ac:dyDescent="0.3"/>
    <row r="555" x14ac:dyDescent="0.3"/>
    <row r="556" x14ac:dyDescent="0.3"/>
    <row r="557" x14ac:dyDescent="0.3"/>
    <row r="558" x14ac:dyDescent="0.3"/>
    <row r="559" x14ac:dyDescent="0.3"/>
    <row r="560" x14ac:dyDescent="0.3"/>
    <row r="561" x14ac:dyDescent="0.3"/>
    <row r="562" x14ac:dyDescent="0.3"/>
    <row r="563" x14ac:dyDescent="0.3"/>
    <row r="564" x14ac:dyDescent="0.3"/>
    <row r="565" x14ac:dyDescent="0.3"/>
    <row r="566" x14ac:dyDescent="0.3"/>
    <row r="567" x14ac:dyDescent="0.3"/>
    <row r="568" x14ac:dyDescent="0.3"/>
    <row r="569" x14ac:dyDescent="0.3"/>
    <row r="570" x14ac:dyDescent="0.3"/>
    <row r="571" x14ac:dyDescent="0.3"/>
    <row r="572" x14ac:dyDescent="0.3"/>
    <row r="573" x14ac:dyDescent="0.3"/>
    <row r="574" x14ac:dyDescent="0.3"/>
    <row r="575" x14ac:dyDescent="0.3"/>
    <row r="576" x14ac:dyDescent="0.3"/>
    <row r="577" x14ac:dyDescent="0.3"/>
    <row r="578" x14ac:dyDescent="0.3"/>
    <row r="579" x14ac:dyDescent="0.3"/>
    <row r="580" x14ac:dyDescent="0.3"/>
    <row r="581" x14ac:dyDescent="0.3"/>
    <row r="582" x14ac:dyDescent="0.3"/>
    <row r="583" x14ac:dyDescent="0.3"/>
    <row r="584" x14ac:dyDescent="0.3"/>
    <row r="585" x14ac:dyDescent="0.3"/>
    <row r="586" x14ac:dyDescent="0.3"/>
    <row r="587" x14ac:dyDescent="0.3"/>
    <row r="588" x14ac:dyDescent="0.3"/>
    <row r="589" x14ac:dyDescent="0.3"/>
    <row r="590" x14ac:dyDescent="0.3"/>
    <row r="591" x14ac:dyDescent="0.3"/>
    <row r="592" x14ac:dyDescent="0.3"/>
    <row r="593" x14ac:dyDescent="0.3"/>
    <row r="594" x14ac:dyDescent="0.3"/>
    <row r="595" x14ac:dyDescent="0.3"/>
    <row r="596" x14ac:dyDescent="0.3"/>
    <row r="597" x14ac:dyDescent="0.3"/>
    <row r="598" x14ac:dyDescent="0.3"/>
    <row r="599" x14ac:dyDescent="0.3"/>
    <row r="600" x14ac:dyDescent="0.3"/>
    <row r="601" x14ac:dyDescent="0.3"/>
    <row r="602" x14ac:dyDescent="0.3"/>
    <row r="603" x14ac:dyDescent="0.3"/>
    <row r="604" x14ac:dyDescent="0.3"/>
    <row r="605" x14ac:dyDescent="0.3"/>
    <row r="606" x14ac:dyDescent="0.3"/>
    <row r="607" x14ac:dyDescent="0.3"/>
    <row r="608" x14ac:dyDescent="0.3"/>
    <row r="609" x14ac:dyDescent="0.3"/>
    <row r="610" x14ac:dyDescent="0.3"/>
    <row r="611" x14ac:dyDescent="0.3"/>
    <row r="612" x14ac:dyDescent="0.3"/>
    <row r="613" x14ac:dyDescent="0.3"/>
    <row r="614" x14ac:dyDescent="0.3"/>
    <row r="615" x14ac:dyDescent="0.3"/>
    <row r="616" x14ac:dyDescent="0.3"/>
    <row r="617" x14ac:dyDescent="0.3"/>
    <row r="618" x14ac:dyDescent="0.3"/>
    <row r="619" x14ac:dyDescent="0.3"/>
    <row r="620" x14ac:dyDescent="0.3"/>
    <row r="621" x14ac:dyDescent="0.3"/>
    <row r="622" x14ac:dyDescent="0.3"/>
    <row r="623" x14ac:dyDescent="0.3"/>
    <row r="624" x14ac:dyDescent="0.3"/>
    <row r="625" x14ac:dyDescent="0.3"/>
    <row r="626" x14ac:dyDescent="0.3"/>
    <row r="627" x14ac:dyDescent="0.3"/>
    <row r="628" x14ac:dyDescent="0.3"/>
    <row r="629" x14ac:dyDescent="0.3"/>
    <row r="630" x14ac:dyDescent="0.3"/>
    <row r="631" x14ac:dyDescent="0.3"/>
    <row r="632" x14ac:dyDescent="0.3"/>
    <row r="633" x14ac:dyDescent="0.3"/>
    <row r="634" x14ac:dyDescent="0.3"/>
    <row r="635" x14ac:dyDescent="0.3"/>
    <row r="636" x14ac:dyDescent="0.3"/>
    <row r="637" x14ac:dyDescent="0.3"/>
    <row r="638" x14ac:dyDescent="0.3"/>
    <row r="639" x14ac:dyDescent="0.3"/>
    <row r="640" x14ac:dyDescent="0.3"/>
    <row r="641" x14ac:dyDescent="0.3"/>
    <row r="642" x14ac:dyDescent="0.3"/>
    <row r="643" x14ac:dyDescent="0.3"/>
    <row r="644" x14ac:dyDescent="0.3"/>
    <row r="645" x14ac:dyDescent="0.3"/>
    <row r="646" x14ac:dyDescent="0.3"/>
    <row r="647" x14ac:dyDescent="0.3"/>
    <row r="648" x14ac:dyDescent="0.3"/>
    <row r="649" x14ac:dyDescent="0.3"/>
    <row r="650" x14ac:dyDescent="0.3"/>
    <row r="651" x14ac:dyDescent="0.3"/>
    <row r="652" x14ac:dyDescent="0.3"/>
    <row r="653" x14ac:dyDescent="0.3"/>
    <row r="654" x14ac:dyDescent="0.3"/>
    <row r="655" x14ac:dyDescent="0.3"/>
    <row r="656" x14ac:dyDescent="0.3"/>
    <row r="657" x14ac:dyDescent="0.3"/>
    <row r="658" x14ac:dyDescent="0.3"/>
    <row r="659" x14ac:dyDescent="0.3"/>
    <row r="660" x14ac:dyDescent="0.3"/>
    <row r="661" x14ac:dyDescent="0.3"/>
    <row r="662" x14ac:dyDescent="0.3"/>
    <row r="663" x14ac:dyDescent="0.3"/>
    <row r="664" x14ac:dyDescent="0.3"/>
    <row r="665" x14ac:dyDescent="0.3"/>
    <row r="666" x14ac:dyDescent="0.3"/>
    <row r="667" x14ac:dyDescent="0.3"/>
    <row r="668" x14ac:dyDescent="0.3"/>
    <row r="669" x14ac:dyDescent="0.3"/>
    <row r="670" x14ac:dyDescent="0.3"/>
    <row r="671" x14ac:dyDescent="0.3"/>
    <row r="672" x14ac:dyDescent="0.3"/>
    <row r="673" x14ac:dyDescent="0.3"/>
    <row r="674" x14ac:dyDescent="0.3"/>
    <row r="675" x14ac:dyDescent="0.3"/>
    <row r="676" x14ac:dyDescent="0.3"/>
    <row r="677" x14ac:dyDescent="0.3"/>
    <row r="678" x14ac:dyDescent="0.3"/>
    <row r="679" x14ac:dyDescent="0.3"/>
    <row r="680" x14ac:dyDescent="0.3"/>
    <row r="681" x14ac:dyDescent="0.3"/>
    <row r="682" x14ac:dyDescent="0.3"/>
    <row r="683" x14ac:dyDescent="0.3"/>
    <row r="684" x14ac:dyDescent="0.3"/>
    <row r="685" x14ac:dyDescent="0.3"/>
    <row r="686" x14ac:dyDescent="0.3"/>
    <row r="687" x14ac:dyDescent="0.3"/>
    <row r="688" x14ac:dyDescent="0.3"/>
    <row r="689" x14ac:dyDescent="0.3"/>
    <row r="690" x14ac:dyDescent="0.3"/>
    <row r="691" x14ac:dyDescent="0.3"/>
    <row r="692" x14ac:dyDescent="0.3"/>
    <row r="693" x14ac:dyDescent="0.3"/>
    <row r="694" x14ac:dyDescent="0.3"/>
    <row r="695" x14ac:dyDescent="0.3"/>
    <row r="696" x14ac:dyDescent="0.3"/>
    <row r="697" x14ac:dyDescent="0.3"/>
    <row r="698" x14ac:dyDescent="0.3"/>
    <row r="699" x14ac:dyDescent="0.3"/>
    <row r="700" x14ac:dyDescent="0.3"/>
    <row r="701" x14ac:dyDescent="0.3"/>
    <row r="702" x14ac:dyDescent="0.3"/>
    <row r="703" x14ac:dyDescent="0.3"/>
    <row r="704" x14ac:dyDescent="0.3"/>
    <row r="705" x14ac:dyDescent="0.3"/>
    <row r="706" x14ac:dyDescent="0.3"/>
    <row r="707" x14ac:dyDescent="0.3"/>
    <row r="708" x14ac:dyDescent="0.3"/>
    <row r="709" x14ac:dyDescent="0.3"/>
    <row r="710" x14ac:dyDescent="0.3"/>
    <row r="711" x14ac:dyDescent="0.3"/>
    <row r="712" x14ac:dyDescent="0.3"/>
    <row r="713" x14ac:dyDescent="0.3"/>
    <row r="714" x14ac:dyDescent="0.3"/>
    <row r="715" x14ac:dyDescent="0.3"/>
    <row r="716" x14ac:dyDescent="0.3"/>
    <row r="717" x14ac:dyDescent="0.3"/>
    <row r="718" x14ac:dyDescent="0.3"/>
    <row r="719" x14ac:dyDescent="0.3"/>
    <row r="720" x14ac:dyDescent="0.3"/>
    <row r="721" x14ac:dyDescent="0.3"/>
    <row r="722" x14ac:dyDescent="0.3"/>
    <row r="723" x14ac:dyDescent="0.3"/>
    <row r="724" x14ac:dyDescent="0.3"/>
    <row r="725" x14ac:dyDescent="0.3"/>
    <row r="726" x14ac:dyDescent="0.3"/>
    <row r="727" x14ac:dyDescent="0.3"/>
    <row r="728" x14ac:dyDescent="0.3"/>
    <row r="729" x14ac:dyDescent="0.3"/>
    <row r="730" x14ac:dyDescent="0.3"/>
    <row r="731" x14ac:dyDescent="0.3"/>
    <row r="732" x14ac:dyDescent="0.3"/>
    <row r="733" x14ac:dyDescent="0.3"/>
    <row r="734" x14ac:dyDescent="0.3"/>
    <row r="735" x14ac:dyDescent="0.3"/>
    <row r="736" x14ac:dyDescent="0.3"/>
    <row r="737" x14ac:dyDescent="0.3"/>
    <row r="738" x14ac:dyDescent="0.3"/>
    <row r="739" x14ac:dyDescent="0.3"/>
    <row r="740" x14ac:dyDescent="0.3"/>
    <row r="741" x14ac:dyDescent="0.3"/>
    <row r="742" x14ac:dyDescent="0.3"/>
    <row r="743" x14ac:dyDescent="0.3"/>
    <row r="744" x14ac:dyDescent="0.3"/>
    <row r="745" x14ac:dyDescent="0.3"/>
    <row r="746" x14ac:dyDescent="0.3"/>
    <row r="747" x14ac:dyDescent="0.3"/>
    <row r="748" x14ac:dyDescent="0.3"/>
    <row r="749" x14ac:dyDescent="0.3"/>
    <row r="750" x14ac:dyDescent="0.3"/>
    <row r="751" x14ac:dyDescent="0.3"/>
    <row r="752" x14ac:dyDescent="0.3"/>
    <row r="753" x14ac:dyDescent="0.3"/>
    <row r="754" x14ac:dyDescent="0.3"/>
    <row r="755" x14ac:dyDescent="0.3"/>
    <row r="756" x14ac:dyDescent="0.3"/>
    <row r="757" x14ac:dyDescent="0.3"/>
    <row r="758" x14ac:dyDescent="0.3"/>
    <row r="759" x14ac:dyDescent="0.3"/>
    <row r="760" x14ac:dyDescent="0.3"/>
    <row r="761" x14ac:dyDescent="0.3"/>
    <row r="762" x14ac:dyDescent="0.3"/>
    <row r="763" x14ac:dyDescent="0.3"/>
    <row r="764" x14ac:dyDescent="0.3"/>
    <row r="765" x14ac:dyDescent="0.3"/>
    <row r="766" x14ac:dyDescent="0.3"/>
    <row r="767" x14ac:dyDescent="0.3"/>
    <row r="768" x14ac:dyDescent="0.3"/>
    <row r="769" x14ac:dyDescent="0.3"/>
    <row r="770" x14ac:dyDescent="0.3"/>
    <row r="771" x14ac:dyDescent="0.3"/>
    <row r="772" x14ac:dyDescent="0.3"/>
    <row r="773" x14ac:dyDescent="0.3"/>
    <row r="774" x14ac:dyDescent="0.3"/>
    <row r="775" x14ac:dyDescent="0.3"/>
    <row r="776" x14ac:dyDescent="0.3"/>
    <row r="777" x14ac:dyDescent="0.3"/>
    <row r="778" x14ac:dyDescent="0.3"/>
    <row r="779" x14ac:dyDescent="0.3"/>
    <row r="780" x14ac:dyDescent="0.3"/>
    <row r="781" x14ac:dyDescent="0.3"/>
    <row r="782" x14ac:dyDescent="0.3"/>
    <row r="783" x14ac:dyDescent="0.3"/>
    <row r="784" x14ac:dyDescent="0.3"/>
    <row r="785" x14ac:dyDescent="0.3"/>
    <row r="786" x14ac:dyDescent="0.3"/>
    <row r="787" x14ac:dyDescent="0.3"/>
    <row r="788" x14ac:dyDescent="0.3"/>
    <row r="789" x14ac:dyDescent="0.3"/>
    <row r="790" x14ac:dyDescent="0.3"/>
    <row r="791" x14ac:dyDescent="0.3"/>
    <row r="792" x14ac:dyDescent="0.3"/>
    <row r="793" x14ac:dyDescent="0.3"/>
    <row r="794" x14ac:dyDescent="0.3"/>
    <row r="795" x14ac:dyDescent="0.3"/>
    <row r="796" x14ac:dyDescent="0.3"/>
    <row r="797" x14ac:dyDescent="0.3"/>
    <row r="798" x14ac:dyDescent="0.3"/>
    <row r="799" x14ac:dyDescent="0.3"/>
    <row r="800" x14ac:dyDescent="0.3"/>
    <row r="801" x14ac:dyDescent="0.3"/>
    <row r="802" x14ac:dyDescent="0.3"/>
    <row r="803" x14ac:dyDescent="0.3"/>
    <row r="804" x14ac:dyDescent="0.3"/>
    <row r="805" x14ac:dyDescent="0.3"/>
    <row r="806" x14ac:dyDescent="0.3"/>
    <row r="807" x14ac:dyDescent="0.3"/>
    <row r="808" x14ac:dyDescent="0.3"/>
    <row r="809" x14ac:dyDescent="0.3"/>
    <row r="810" x14ac:dyDescent="0.3"/>
    <row r="811" x14ac:dyDescent="0.3"/>
    <row r="812" x14ac:dyDescent="0.3"/>
    <row r="813" x14ac:dyDescent="0.3"/>
    <row r="814" x14ac:dyDescent="0.3"/>
    <row r="815" x14ac:dyDescent="0.3"/>
    <row r="816" x14ac:dyDescent="0.3"/>
    <row r="817" x14ac:dyDescent="0.3"/>
    <row r="818" x14ac:dyDescent="0.3"/>
    <row r="819" x14ac:dyDescent="0.3"/>
    <row r="820" x14ac:dyDescent="0.3"/>
    <row r="821" x14ac:dyDescent="0.3"/>
    <row r="822" x14ac:dyDescent="0.3"/>
    <row r="823" x14ac:dyDescent="0.3"/>
    <row r="824" x14ac:dyDescent="0.3"/>
    <row r="825" x14ac:dyDescent="0.3"/>
    <row r="826" x14ac:dyDescent="0.3"/>
    <row r="827" x14ac:dyDescent="0.3"/>
    <row r="828" x14ac:dyDescent="0.3"/>
    <row r="829" x14ac:dyDescent="0.3"/>
    <row r="830" x14ac:dyDescent="0.3"/>
    <row r="831" x14ac:dyDescent="0.3"/>
    <row r="832" x14ac:dyDescent="0.3"/>
    <row r="833" x14ac:dyDescent="0.3"/>
    <row r="834" x14ac:dyDescent="0.3"/>
    <row r="835" x14ac:dyDescent="0.3"/>
    <row r="836" x14ac:dyDescent="0.3"/>
    <row r="837" x14ac:dyDescent="0.3"/>
    <row r="838" x14ac:dyDescent="0.3"/>
    <row r="839" x14ac:dyDescent="0.3"/>
    <row r="840" x14ac:dyDescent="0.3"/>
    <row r="841" x14ac:dyDescent="0.3"/>
    <row r="842" x14ac:dyDescent="0.3"/>
    <row r="843" x14ac:dyDescent="0.3"/>
    <row r="844" x14ac:dyDescent="0.3"/>
    <row r="845" x14ac:dyDescent="0.3"/>
    <row r="846" x14ac:dyDescent="0.3"/>
    <row r="847" x14ac:dyDescent="0.3"/>
    <row r="848" x14ac:dyDescent="0.3"/>
    <row r="849" x14ac:dyDescent="0.3"/>
    <row r="850" x14ac:dyDescent="0.3"/>
    <row r="851" x14ac:dyDescent="0.3"/>
    <row r="852" x14ac:dyDescent="0.3"/>
    <row r="853" x14ac:dyDescent="0.3"/>
    <row r="854" x14ac:dyDescent="0.3"/>
    <row r="855" x14ac:dyDescent="0.3"/>
    <row r="856" x14ac:dyDescent="0.3"/>
    <row r="857" x14ac:dyDescent="0.3"/>
    <row r="858" x14ac:dyDescent="0.3"/>
    <row r="859" x14ac:dyDescent="0.3"/>
    <row r="860" x14ac:dyDescent="0.3"/>
    <row r="861" x14ac:dyDescent="0.3"/>
    <row r="862" x14ac:dyDescent="0.3"/>
    <row r="863" x14ac:dyDescent="0.3"/>
    <row r="864" x14ac:dyDescent="0.3"/>
    <row r="865" x14ac:dyDescent="0.3"/>
    <row r="866" x14ac:dyDescent="0.3"/>
    <row r="867" x14ac:dyDescent="0.3"/>
    <row r="868" x14ac:dyDescent="0.3"/>
    <row r="869" x14ac:dyDescent="0.3"/>
    <row r="870" x14ac:dyDescent="0.3"/>
    <row r="871" x14ac:dyDescent="0.3"/>
    <row r="872" x14ac:dyDescent="0.3"/>
    <row r="873" x14ac:dyDescent="0.3"/>
    <row r="874" x14ac:dyDescent="0.3"/>
    <row r="875" x14ac:dyDescent="0.3"/>
    <row r="876" x14ac:dyDescent="0.3"/>
    <row r="877" x14ac:dyDescent="0.3"/>
    <row r="878" x14ac:dyDescent="0.3"/>
    <row r="879" x14ac:dyDescent="0.3"/>
    <row r="880" x14ac:dyDescent="0.3"/>
    <row r="881" x14ac:dyDescent="0.3"/>
    <row r="882" x14ac:dyDescent="0.3"/>
    <row r="883" x14ac:dyDescent="0.3"/>
    <row r="884" x14ac:dyDescent="0.3"/>
    <row r="885" x14ac:dyDescent="0.3"/>
    <row r="886" x14ac:dyDescent="0.3"/>
    <row r="887" x14ac:dyDescent="0.3"/>
    <row r="888" x14ac:dyDescent="0.3"/>
    <row r="889" x14ac:dyDescent="0.3"/>
    <row r="890" x14ac:dyDescent="0.3"/>
    <row r="891" x14ac:dyDescent="0.3"/>
    <row r="892" x14ac:dyDescent="0.3"/>
    <row r="893" x14ac:dyDescent="0.3"/>
    <row r="894" x14ac:dyDescent="0.3"/>
    <row r="895" x14ac:dyDescent="0.3"/>
    <row r="896" x14ac:dyDescent="0.3"/>
    <row r="897" x14ac:dyDescent="0.3"/>
    <row r="898" x14ac:dyDescent="0.3"/>
    <row r="899" x14ac:dyDescent="0.3"/>
    <row r="900" x14ac:dyDescent="0.3"/>
    <row r="901" x14ac:dyDescent="0.3"/>
    <row r="902" x14ac:dyDescent="0.3"/>
    <row r="903" x14ac:dyDescent="0.3"/>
    <row r="904" x14ac:dyDescent="0.3"/>
    <row r="905" x14ac:dyDescent="0.3"/>
    <row r="906" x14ac:dyDescent="0.3"/>
    <row r="907" x14ac:dyDescent="0.3"/>
    <row r="908" x14ac:dyDescent="0.3"/>
    <row r="909" x14ac:dyDescent="0.3"/>
    <row r="910" x14ac:dyDescent="0.3"/>
    <row r="911" x14ac:dyDescent="0.3"/>
    <row r="912" x14ac:dyDescent="0.3"/>
    <row r="913" x14ac:dyDescent="0.3"/>
    <row r="914" x14ac:dyDescent="0.3"/>
    <row r="915" x14ac:dyDescent="0.3"/>
    <row r="916" x14ac:dyDescent="0.3"/>
    <row r="917" x14ac:dyDescent="0.3"/>
    <row r="918" x14ac:dyDescent="0.3"/>
    <row r="919" x14ac:dyDescent="0.3"/>
    <row r="920" x14ac:dyDescent="0.3"/>
    <row r="921" x14ac:dyDescent="0.3"/>
    <row r="922" x14ac:dyDescent="0.3"/>
    <row r="923" x14ac:dyDescent="0.3"/>
    <row r="924" x14ac:dyDescent="0.3"/>
    <row r="925" x14ac:dyDescent="0.3"/>
    <row r="926" x14ac:dyDescent="0.3"/>
    <row r="927" x14ac:dyDescent="0.3"/>
    <row r="928" x14ac:dyDescent="0.3"/>
    <row r="929" x14ac:dyDescent="0.3"/>
    <row r="930" x14ac:dyDescent="0.3"/>
    <row r="931" x14ac:dyDescent="0.3"/>
    <row r="932" x14ac:dyDescent="0.3"/>
    <row r="933" x14ac:dyDescent="0.3"/>
    <row r="934" x14ac:dyDescent="0.3"/>
    <row r="935" x14ac:dyDescent="0.3"/>
    <row r="936" x14ac:dyDescent="0.3"/>
    <row r="937" x14ac:dyDescent="0.3"/>
    <row r="938" x14ac:dyDescent="0.3"/>
    <row r="939" x14ac:dyDescent="0.3"/>
    <row r="940" x14ac:dyDescent="0.3"/>
    <row r="941" x14ac:dyDescent="0.3"/>
    <row r="942" x14ac:dyDescent="0.3"/>
    <row r="943" x14ac:dyDescent="0.3"/>
    <row r="944" x14ac:dyDescent="0.3"/>
    <row r="945" x14ac:dyDescent="0.3"/>
    <row r="946" x14ac:dyDescent="0.3"/>
    <row r="947" x14ac:dyDescent="0.3"/>
    <row r="948" x14ac:dyDescent="0.3"/>
    <row r="949" x14ac:dyDescent="0.3"/>
    <row r="950" x14ac:dyDescent="0.3"/>
    <row r="951" x14ac:dyDescent="0.3"/>
    <row r="952" x14ac:dyDescent="0.3"/>
    <row r="953" x14ac:dyDescent="0.3"/>
    <row r="954" x14ac:dyDescent="0.3"/>
    <row r="955" x14ac:dyDescent="0.3"/>
    <row r="956" x14ac:dyDescent="0.3"/>
    <row r="957" x14ac:dyDescent="0.3"/>
    <row r="958" x14ac:dyDescent="0.3"/>
    <row r="959" x14ac:dyDescent="0.3"/>
    <row r="960" x14ac:dyDescent="0.3"/>
    <row r="961" x14ac:dyDescent="0.3"/>
    <row r="962" x14ac:dyDescent="0.3"/>
    <row r="963" x14ac:dyDescent="0.3"/>
    <row r="964" x14ac:dyDescent="0.3"/>
    <row r="965" x14ac:dyDescent="0.3"/>
    <row r="966" x14ac:dyDescent="0.3"/>
    <row r="967" x14ac:dyDescent="0.3"/>
    <row r="968" x14ac:dyDescent="0.3"/>
    <row r="969" x14ac:dyDescent="0.3"/>
    <row r="970" x14ac:dyDescent="0.3"/>
    <row r="971" x14ac:dyDescent="0.3"/>
    <row r="972" x14ac:dyDescent="0.3"/>
    <row r="973" x14ac:dyDescent="0.3"/>
    <row r="974" x14ac:dyDescent="0.3"/>
    <row r="975" x14ac:dyDescent="0.3"/>
    <row r="976" x14ac:dyDescent="0.3"/>
    <row r="977" x14ac:dyDescent="0.3"/>
    <row r="978" x14ac:dyDescent="0.3"/>
    <row r="979" x14ac:dyDescent="0.3"/>
    <row r="980" x14ac:dyDescent="0.3"/>
    <row r="981" x14ac:dyDescent="0.3"/>
    <row r="982" x14ac:dyDescent="0.3"/>
    <row r="983" x14ac:dyDescent="0.3"/>
    <row r="984" x14ac:dyDescent="0.3"/>
    <row r="985" x14ac:dyDescent="0.3"/>
    <row r="986" x14ac:dyDescent="0.3"/>
    <row r="987" x14ac:dyDescent="0.3"/>
    <row r="988" x14ac:dyDescent="0.3"/>
    <row r="989" x14ac:dyDescent="0.3"/>
    <row r="990" x14ac:dyDescent="0.3"/>
    <row r="991" x14ac:dyDescent="0.3"/>
    <row r="992" x14ac:dyDescent="0.3"/>
    <row r="993" x14ac:dyDescent="0.3"/>
    <row r="994" x14ac:dyDescent="0.3"/>
    <row r="995" x14ac:dyDescent="0.3"/>
    <row r="996" x14ac:dyDescent="0.3"/>
    <row r="997" x14ac:dyDescent="0.3"/>
    <row r="998" x14ac:dyDescent="0.3"/>
    <row r="999" x14ac:dyDescent="0.3"/>
    <row r="1000" x14ac:dyDescent="0.3"/>
    <row r="1001" x14ac:dyDescent="0.3"/>
    <row r="1002" x14ac:dyDescent="0.3"/>
    <row r="1003" x14ac:dyDescent="0.3"/>
    <row r="1004" x14ac:dyDescent="0.3"/>
    <row r="1005" x14ac:dyDescent="0.3"/>
    <row r="1006" x14ac:dyDescent="0.3"/>
    <row r="1007" x14ac:dyDescent="0.3"/>
    <row r="1008" x14ac:dyDescent="0.3"/>
    <row r="1009" x14ac:dyDescent="0.3"/>
    <row r="1010" x14ac:dyDescent="0.3"/>
    <row r="1011" x14ac:dyDescent="0.3"/>
    <row r="1012" x14ac:dyDescent="0.3"/>
    <row r="1013" x14ac:dyDescent="0.3"/>
    <row r="1014" x14ac:dyDescent="0.3"/>
    <row r="1015" x14ac:dyDescent="0.3"/>
    <row r="1016" x14ac:dyDescent="0.3"/>
    <row r="1017" x14ac:dyDescent="0.3"/>
    <row r="1018" x14ac:dyDescent="0.3"/>
    <row r="1019" x14ac:dyDescent="0.3"/>
    <row r="1020" x14ac:dyDescent="0.3"/>
    <row r="1021" x14ac:dyDescent="0.3"/>
    <row r="1022" x14ac:dyDescent="0.3"/>
    <row r="1023" x14ac:dyDescent="0.3"/>
    <row r="1024" x14ac:dyDescent="0.3"/>
    <row r="1025" x14ac:dyDescent="0.3"/>
    <row r="1026" x14ac:dyDescent="0.3"/>
    <row r="1027" x14ac:dyDescent="0.3"/>
    <row r="1028" x14ac:dyDescent="0.3"/>
    <row r="1029" x14ac:dyDescent="0.3"/>
    <row r="1030" x14ac:dyDescent="0.3"/>
    <row r="1031" x14ac:dyDescent="0.3"/>
    <row r="1032" x14ac:dyDescent="0.3"/>
    <row r="1033" x14ac:dyDescent="0.3"/>
    <row r="1034" x14ac:dyDescent="0.3"/>
    <row r="1035" x14ac:dyDescent="0.3"/>
    <row r="1036" x14ac:dyDescent="0.3"/>
    <row r="1037" x14ac:dyDescent="0.3"/>
    <row r="1038" x14ac:dyDescent="0.3"/>
    <row r="1039" x14ac:dyDescent="0.3"/>
    <row r="1040" x14ac:dyDescent="0.3"/>
    <row r="1041" x14ac:dyDescent="0.3"/>
    <row r="1042" x14ac:dyDescent="0.3"/>
    <row r="1043" x14ac:dyDescent="0.3"/>
    <row r="1044" x14ac:dyDescent="0.3"/>
    <row r="1045" x14ac:dyDescent="0.3"/>
    <row r="1046" x14ac:dyDescent="0.3"/>
    <row r="1047" x14ac:dyDescent="0.3"/>
    <row r="1048" x14ac:dyDescent="0.3"/>
    <row r="1049" x14ac:dyDescent="0.3"/>
    <row r="1050" x14ac:dyDescent="0.3"/>
    <row r="1051" x14ac:dyDescent="0.3"/>
    <row r="1052" x14ac:dyDescent="0.3"/>
    <row r="1053" x14ac:dyDescent="0.3"/>
    <row r="1054" x14ac:dyDescent="0.3"/>
    <row r="1055" x14ac:dyDescent="0.3"/>
    <row r="1056" x14ac:dyDescent="0.3"/>
    <row r="1057" x14ac:dyDescent="0.3"/>
    <row r="1058" x14ac:dyDescent="0.3"/>
    <row r="1059" x14ac:dyDescent="0.3"/>
    <row r="1060" x14ac:dyDescent="0.3"/>
    <row r="1061" x14ac:dyDescent="0.3"/>
    <row r="1062" x14ac:dyDescent="0.3"/>
    <row r="1063" x14ac:dyDescent="0.3"/>
    <row r="1064" x14ac:dyDescent="0.3"/>
    <row r="1065" x14ac:dyDescent="0.3"/>
    <row r="1066" x14ac:dyDescent="0.3"/>
    <row r="1067" x14ac:dyDescent="0.3"/>
    <row r="1068" x14ac:dyDescent="0.3"/>
    <row r="1069" x14ac:dyDescent="0.3"/>
    <row r="1070" x14ac:dyDescent="0.3"/>
  </sheetData>
  <sheetProtection autoFilter="0"/>
  <mergeCells count="2">
    <mergeCell ref="B1:F2"/>
    <mergeCell ref="N1:N2"/>
  </mergeCells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7B7DA6-C63C-4186-86BD-55867626543A}">
          <x14:formula1>
            <xm:f>AUX!$A$2:$A$34</xm:f>
          </x14:formula1>
          <xm:sqref>E7:E108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63F3F-31B6-4D4A-9574-C6D96584052F}">
  <dimension ref="A1:P84"/>
  <sheetViews>
    <sheetView showGridLines="0" tabSelected="1" zoomScaleNormal="100" workbookViewId="0">
      <pane ySplit="2" topLeftCell="A3" activePane="bottomLeft" state="frozen"/>
      <selection pane="bottomLeft" activeCell="E28" sqref="E28"/>
    </sheetView>
  </sheetViews>
  <sheetFormatPr defaultColWidth="9" defaultRowHeight="14.4" x14ac:dyDescent="0.3"/>
  <cols>
    <col min="1" max="1" width="12" style="145" customWidth="1"/>
    <col min="2" max="2" width="40.109375" style="145" bestFit="1" customWidth="1"/>
    <col min="3" max="3" width="35.21875" style="145" customWidth="1"/>
    <col min="4" max="4" width="16.44140625" style="151" bestFit="1" customWidth="1"/>
    <col min="5" max="5" width="9.44140625" style="145" bestFit="1" customWidth="1"/>
    <col min="6" max="8" width="15.5546875" style="145" customWidth="1"/>
    <col min="9" max="9" width="21.77734375" style="145" customWidth="1"/>
    <col min="10" max="10" width="15.5546875" style="145" customWidth="1"/>
    <col min="11" max="11" width="21" style="145" customWidth="1"/>
    <col min="12" max="13" width="15.5546875" style="145" customWidth="1"/>
    <col min="14" max="14" width="21.21875" style="145" customWidth="1"/>
    <col min="15" max="15" width="13.44140625" bestFit="1" customWidth="1"/>
    <col min="16" max="16" width="19.109375" style="145" bestFit="1" customWidth="1"/>
    <col min="17" max="17" width="14.88671875" style="145" bestFit="1" customWidth="1"/>
    <col min="18" max="16384" width="9" style="145"/>
  </cols>
  <sheetData>
    <row r="1" spans="1:16" ht="55.5" customHeight="1" thickBot="1" x14ac:dyDescent="0.35">
      <c r="A1" s="149">
        <f>SUBTOTAL(103,tb_Custo[TOMADOR])</f>
        <v>47</v>
      </c>
      <c r="D1" s="150"/>
      <c r="G1" s="148">
        <f>SUBTOTAL(109,tb_Custo[SALÁRIO BASE])</f>
        <v>161308.30000000002</v>
      </c>
      <c r="H1" s="148">
        <f>SUBTOTAL(109,tb_Custo[SALÁRIO+PER])</f>
        <v>209700.79000000015</v>
      </c>
      <c r="I1" s="148">
        <f>SUBTOTAL(109,tb_Custo[ALIMENTAÇÃO])</f>
        <v>49243.37999999999</v>
      </c>
      <c r="J1" s="148">
        <f>SUBTOTAL(109,tb_Custo[TRANSPORTE])</f>
        <v>31500</v>
      </c>
      <c r="K1" s="148">
        <f>SUBTOTAL(109,tb_Custo[PLANOS SAÚDE+ODONTO])</f>
        <v>21402</v>
      </c>
      <c r="L1" s="148">
        <f>SUBTOTAL(109,tb_Custo[SEGURO DE VIDA])</f>
        <v>509.39999999999975</v>
      </c>
      <c r="M1" s="148">
        <f>SUBTOTAL(109,tb_Custo[AJUDA DE CUSTO])</f>
        <v>0</v>
      </c>
      <c r="N1" s="148">
        <f>SUBTOTAL(109,tb_Custo[ENCARGOS TRABALHISTAS])</f>
        <v>167760.63199999984</v>
      </c>
      <c r="O1" s="148">
        <f>SUBTOTAL(109,tb_Custo[TOTAL INDIVIDUAL])</f>
        <v>480116.20199999982</v>
      </c>
      <c r="P1" s="159">
        <v>220</v>
      </c>
    </row>
    <row r="2" spans="1:16" s="127" customFormat="1" ht="44.4" customHeight="1" thickBot="1" x14ac:dyDescent="0.35">
      <c r="A2" s="123" t="s">
        <v>15</v>
      </c>
      <c r="B2" s="124" t="s">
        <v>163</v>
      </c>
      <c r="C2" s="124" t="s">
        <v>1</v>
      </c>
      <c r="D2" s="126" t="s">
        <v>13</v>
      </c>
      <c r="E2" s="124" t="s">
        <v>18</v>
      </c>
      <c r="F2" s="124" t="s">
        <v>3</v>
      </c>
      <c r="G2" s="124" t="s">
        <v>265</v>
      </c>
      <c r="H2" s="124" t="s">
        <v>264</v>
      </c>
      <c r="I2" s="125" t="s">
        <v>367</v>
      </c>
      <c r="J2" s="126" t="s">
        <v>368</v>
      </c>
      <c r="K2" s="126" t="s">
        <v>369</v>
      </c>
      <c r="L2" s="126" t="s">
        <v>370</v>
      </c>
      <c r="M2" s="126" t="s">
        <v>383</v>
      </c>
      <c r="N2" s="126" t="s">
        <v>371</v>
      </c>
      <c r="O2" s="126" t="s">
        <v>372</v>
      </c>
      <c r="P2" s="126" t="s">
        <v>384</v>
      </c>
    </row>
    <row r="3" spans="1:16" s="127" customFormat="1" ht="15" hidden="1" customHeight="1" x14ac:dyDescent="0.3">
      <c r="A3" s="128" t="s">
        <v>30</v>
      </c>
      <c r="B3" s="129" t="s">
        <v>4</v>
      </c>
      <c r="C3" s="130" t="s">
        <v>27</v>
      </c>
      <c r="D3" s="146" t="str">
        <f>_xlfn.XLOOKUP(tb_Custo[[#This Row],[NOME COMPLETO]],Tb_EFETIVO[NOME COMPLETO],Tb_EFETIVO[SITUAÇÃO],"",0,1)</f>
        <v>ATIVO</v>
      </c>
      <c r="E3" s="131" t="s">
        <v>8</v>
      </c>
      <c r="F3" s="132">
        <v>45910</v>
      </c>
      <c r="G3" s="133">
        <f>_xlfn.XLOOKUP(C3,Tb_FUNÇÕES[RESUMO - FUNÇÕES],Tb_FUNÇÕES[SALÁRIO BASE],"",0,1)</f>
        <v>14000</v>
      </c>
      <c r="H3" s="133">
        <f>IF(tb_Custo[[#This Row],[TOMADOR]]="UTGC",tb_Custo[[#This Row],[SALÁRIO BASE]]*1.3,tb_Custo[[#This Row],[SALÁRIO BASE]])</f>
        <v>18200</v>
      </c>
      <c r="I3" s="134">
        <v>1100</v>
      </c>
      <c r="J3" s="134">
        <v>0</v>
      </c>
      <c r="K3" s="134">
        <v>246</v>
      </c>
      <c r="L3" s="134">
        <v>11.32</v>
      </c>
      <c r="M3" s="134">
        <v>5000</v>
      </c>
      <c r="N3" s="135">
        <f>tb_Custo[[#This Row],[SALÁRIO+PER]]*0.8</f>
        <v>14560</v>
      </c>
      <c r="O3" s="146">
        <f>SUM(tb_Custo[[#This Row],[SALÁRIO+PER]:[ENCARGOS TRABALHISTAS]])</f>
        <v>39117.32</v>
      </c>
      <c r="P3" s="158">
        <f>tb_Custo[[#This Row],[TOTAL INDIVIDUAL]]/$P$1</f>
        <v>177.80600000000001</v>
      </c>
    </row>
    <row r="4" spans="1:16" s="127" customFormat="1" ht="15" hidden="1" customHeight="1" x14ac:dyDescent="0.3">
      <c r="A4" s="128" t="s">
        <v>30</v>
      </c>
      <c r="B4" s="129" t="s">
        <v>43</v>
      </c>
      <c r="C4" s="130" t="s">
        <v>73</v>
      </c>
      <c r="D4" s="146" t="str">
        <f>_xlfn.XLOOKUP(tb_Custo[[#This Row],[NOME COMPLETO]],Tb_EFETIVO[NOME COMPLETO],Tb_EFETIVO[SITUAÇÃO],"",0,1)</f>
        <v>ATIVO</v>
      </c>
      <c r="E4" s="131" t="s">
        <v>8</v>
      </c>
      <c r="F4" s="132">
        <v>45922</v>
      </c>
      <c r="G4" s="133">
        <f>_xlfn.XLOOKUP(C4,Tb_FUNÇÕES[RESUMO - FUNÇÕES],Tb_FUNÇÕES[SALÁRIO BASE],"",0,1)</f>
        <v>14000</v>
      </c>
      <c r="H4" s="133">
        <f>IF(tb_Custo[[#This Row],[TOMADOR]]="UTGC",tb_Custo[[#This Row],[SALÁRIO BASE]]*1.3,tb_Custo[[#This Row],[SALÁRIO BASE]])</f>
        <v>18200</v>
      </c>
      <c r="I4" s="134">
        <v>1100</v>
      </c>
      <c r="J4" s="134">
        <v>0</v>
      </c>
      <c r="K4" s="134">
        <v>246</v>
      </c>
      <c r="L4" s="134">
        <v>11.32</v>
      </c>
      <c r="M4" s="134">
        <v>5000</v>
      </c>
      <c r="N4" s="135">
        <f>tb_Custo[[#This Row],[SALÁRIO+PER]]*0.8</f>
        <v>14560</v>
      </c>
      <c r="O4" s="146">
        <f>SUM(tb_Custo[[#This Row],[SALÁRIO+PER]:[ENCARGOS TRABALHISTAS]])</f>
        <v>39117.32</v>
      </c>
      <c r="P4" s="158">
        <f>tb_Custo[[#This Row],[TOTAL INDIVIDUAL]]/$P$1</f>
        <v>177.80600000000001</v>
      </c>
    </row>
    <row r="5" spans="1:16" s="127" customFormat="1" ht="15" hidden="1" customHeight="1" x14ac:dyDescent="0.3">
      <c r="A5" s="128" t="s">
        <v>30</v>
      </c>
      <c r="B5" s="129" t="s">
        <v>38</v>
      </c>
      <c r="C5" s="130" t="s">
        <v>10</v>
      </c>
      <c r="D5" s="146" t="str">
        <f>_xlfn.XLOOKUP(tb_Custo[[#This Row],[NOME COMPLETO]],Tb_EFETIVO[NOME COMPLETO],Tb_EFETIVO[SITUAÇÃO],"",0,1)</f>
        <v>ATIVO</v>
      </c>
      <c r="E5" s="131" t="s">
        <v>8</v>
      </c>
      <c r="F5" s="132">
        <v>45909</v>
      </c>
      <c r="G5" s="133">
        <f>_xlfn.XLOOKUP(C5,Tb_FUNÇÕES[RESUMO - FUNÇÕES],Tb_FUNÇÕES[SALÁRIO BASE],"",0,1)</f>
        <v>12000</v>
      </c>
      <c r="H5" s="133">
        <f>IF(tb_Custo[[#This Row],[TOMADOR]]="UTGC",tb_Custo[[#This Row],[SALÁRIO BASE]]*1.3,tb_Custo[[#This Row],[SALÁRIO BASE]])</f>
        <v>15600</v>
      </c>
      <c r="I5" s="134">
        <v>1100</v>
      </c>
      <c r="J5" s="134">
        <v>0</v>
      </c>
      <c r="K5" s="134">
        <v>246</v>
      </c>
      <c r="L5" s="134">
        <v>11.32</v>
      </c>
      <c r="M5" s="134">
        <v>14800</v>
      </c>
      <c r="N5" s="135">
        <f>tb_Custo[[#This Row],[SALÁRIO+PER]]*0.8</f>
        <v>12480</v>
      </c>
      <c r="O5" s="146">
        <f>SUM(tb_Custo[[#This Row],[SALÁRIO+PER]:[ENCARGOS TRABALHISTAS]])</f>
        <v>44237.32</v>
      </c>
      <c r="P5" s="158">
        <f>tb_Custo[[#This Row],[TOTAL INDIVIDUAL]]/$P$1</f>
        <v>201.07872727272726</v>
      </c>
    </row>
    <row r="6" spans="1:16" s="127" customFormat="1" ht="15" hidden="1" customHeight="1" x14ac:dyDescent="0.3">
      <c r="A6" s="128" t="s">
        <v>30</v>
      </c>
      <c r="B6" s="129" t="s">
        <v>40</v>
      </c>
      <c r="C6" s="130" t="s">
        <v>70</v>
      </c>
      <c r="D6" s="146" t="str">
        <f>_xlfn.XLOOKUP(tb_Custo[[#This Row],[NOME COMPLETO]],Tb_EFETIVO[NOME COMPLETO],Tb_EFETIVO[SITUAÇÃO],"",0,1)</f>
        <v>ATIVO</v>
      </c>
      <c r="E6" s="131" t="s">
        <v>8</v>
      </c>
      <c r="F6" s="132">
        <v>45919</v>
      </c>
      <c r="G6" s="133">
        <f>_xlfn.XLOOKUP(C6,Tb_FUNÇÕES[RESUMO - FUNÇÕES],Tb_FUNÇÕES[SALÁRIO BASE],"",0,1)</f>
        <v>12000</v>
      </c>
      <c r="H6" s="133">
        <f>IF(tb_Custo[[#This Row],[TOMADOR]]="UTGC",tb_Custo[[#This Row],[SALÁRIO BASE]]*1.3,tb_Custo[[#This Row],[SALÁRIO BASE]])</f>
        <v>15600</v>
      </c>
      <c r="I6" s="134">
        <v>1100</v>
      </c>
      <c r="J6" s="134">
        <v>0</v>
      </c>
      <c r="K6" s="134">
        <v>246</v>
      </c>
      <c r="L6" s="134">
        <v>11.32</v>
      </c>
      <c r="M6" s="134"/>
      <c r="N6" s="135">
        <f>tb_Custo[[#This Row],[SALÁRIO+PER]]*0.8</f>
        <v>12480</v>
      </c>
      <c r="O6" s="146">
        <f>SUM(tb_Custo[[#This Row],[SALÁRIO+PER]:[ENCARGOS TRABALHISTAS]])</f>
        <v>29437.32</v>
      </c>
      <c r="P6" s="158">
        <f>tb_Custo[[#This Row],[TOTAL INDIVIDUAL]]/$P$1</f>
        <v>133.80600000000001</v>
      </c>
    </row>
    <row r="7" spans="1:16" s="127" customFormat="1" ht="15" hidden="1" customHeight="1" x14ac:dyDescent="0.3">
      <c r="A7" s="128" t="s">
        <v>30</v>
      </c>
      <c r="B7" s="129" t="s">
        <v>60</v>
      </c>
      <c r="C7" s="130" t="s">
        <v>72</v>
      </c>
      <c r="D7" s="146" t="str">
        <f>_xlfn.XLOOKUP(tb_Custo[[#This Row],[NOME COMPLETO]],Tb_EFETIVO[NOME COMPLETO],Tb_EFETIVO[SITUAÇÃO],"",0,1)</f>
        <v>ATIVO</v>
      </c>
      <c r="E7" s="131" t="s">
        <v>8</v>
      </c>
      <c r="F7" s="132">
        <v>45931</v>
      </c>
      <c r="G7" s="133">
        <f>_xlfn.XLOOKUP(C7,Tb_FUNÇÕES[RESUMO - FUNÇÕES],Tb_FUNÇÕES[SALÁRIO BASE],"",0,1)</f>
        <v>12000</v>
      </c>
      <c r="H7" s="133">
        <f>IF(tb_Custo[[#This Row],[TOMADOR]]="UTGC",tb_Custo[[#This Row],[SALÁRIO BASE]]*1.3,tb_Custo[[#This Row],[SALÁRIO BASE]])</f>
        <v>15600</v>
      </c>
      <c r="I7" s="134">
        <v>1100</v>
      </c>
      <c r="J7" s="134">
        <v>0</v>
      </c>
      <c r="K7" s="134">
        <v>492</v>
      </c>
      <c r="L7" s="134">
        <v>11.32</v>
      </c>
      <c r="M7" s="134"/>
      <c r="N7" s="135">
        <f>tb_Custo[[#This Row],[SALÁRIO+PER]]*0.8</f>
        <v>12480</v>
      </c>
      <c r="O7" s="146">
        <f>SUM(tb_Custo[[#This Row],[SALÁRIO+PER]:[ENCARGOS TRABALHISTAS]])</f>
        <v>29683.32</v>
      </c>
      <c r="P7" s="158">
        <f>tb_Custo[[#This Row],[TOTAL INDIVIDUAL]]/$P$1</f>
        <v>134.92418181818181</v>
      </c>
    </row>
    <row r="8" spans="1:16" s="127" customFormat="1" ht="15" hidden="1" customHeight="1" x14ac:dyDescent="0.3">
      <c r="A8" s="128" t="s">
        <v>31</v>
      </c>
      <c r="B8" s="129" t="s">
        <v>12</v>
      </c>
      <c r="C8" s="130" t="s">
        <v>75</v>
      </c>
      <c r="D8" s="146" t="str">
        <f>_xlfn.XLOOKUP(tb_Custo[[#This Row],[NOME COMPLETO]],Tb_EFETIVO[NOME COMPLETO],Tb_EFETIVO[SITUAÇÃO],"",0,1)</f>
        <v>ATIVO</v>
      </c>
      <c r="E8" s="131" t="s">
        <v>8</v>
      </c>
      <c r="F8" s="132">
        <v>45917</v>
      </c>
      <c r="G8" s="133">
        <f>_xlfn.XLOOKUP(C8,Tb_FUNÇÕES[RESUMO - FUNÇÕES],Tb_FUNÇÕES[SALÁRIO BASE],"",0,1)</f>
        <v>12000</v>
      </c>
      <c r="H8" s="133">
        <f>IF(tb_Custo[[#This Row],[TOMADOR]]="UTGC",tb_Custo[[#This Row],[SALÁRIO BASE]]*1.3,tb_Custo[[#This Row],[SALÁRIO BASE]])</f>
        <v>12000</v>
      </c>
      <c r="I8" s="134">
        <v>1254</v>
      </c>
      <c r="J8" s="134">
        <v>0</v>
      </c>
      <c r="K8" s="134">
        <v>246</v>
      </c>
      <c r="L8" s="134">
        <v>11.32</v>
      </c>
      <c r="M8" s="134">
        <v>3000</v>
      </c>
      <c r="N8" s="135">
        <f>tb_Custo[[#This Row],[SALÁRIO+PER]]*0.8</f>
        <v>9600</v>
      </c>
      <c r="O8" s="146">
        <f>SUM(tb_Custo[[#This Row],[SALÁRIO+PER]:[ENCARGOS TRABALHISTAS]])</f>
        <v>26111.32</v>
      </c>
      <c r="P8" s="158">
        <f>tb_Custo[[#This Row],[TOTAL INDIVIDUAL]]/$P$1</f>
        <v>118.68781818181819</v>
      </c>
    </row>
    <row r="9" spans="1:16" s="127" customFormat="1" ht="15" hidden="1" customHeight="1" x14ac:dyDescent="0.3">
      <c r="A9" s="128" t="s">
        <v>31</v>
      </c>
      <c r="B9" s="129" t="s">
        <v>45</v>
      </c>
      <c r="C9" s="130" t="s">
        <v>70</v>
      </c>
      <c r="D9" s="146" t="str">
        <f>_xlfn.XLOOKUP(tb_Custo[[#This Row],[NOME COMPLETO]],Tb_EFETIVO[NOME COMPLETO],Tb_EFETIVO[SITUAÇÃO],"",0,1)</f>
        <v>ATIVO</v>
      </c>
      <c r="E9" s="131" t="s">
        <v>8</v>
      </c>
      <c r="F9" s="132">
        <v>45917</v>
      </c>
      <c r="G9" s="133">
        <f>_xlfn.XLOOKUP(C9,Tb_FUNÇÕES[RESUMO - FUNÇÕES],Tb_FUNÇÕES[SALÁRIO BASE],"",0,1)</f>
        <v>12000</v>
      </c>
      <c r="H9" s="133">
        <f>IF(tb_Custo[[#This Row],[TOMADOR]]="UTGC",tb_Custo[[#This Row],[SALÁRIO BASE]]*1.3,tb_Custo[[#This Row],[SALÁRIO BASE]])</f>
        <v>12000</v>
      </c>
      <c r="I9" s="134">
        <v>1254</v>
      </c>
      <c r="J9" s="134">
        <v>224.4</v>
      </c>
      <c r="K9" s="134">
        <v>246</v>
      </c>
      <c r="L9" s="134">
        <v>11.32</v>
      </c>
      <c r="M9" s="134"/>
      <c r="N9" s="135">
        <f>tb_Custo[[#This Row],[SALÁRIO+PER]]*0.8</f>
        <v>9600</v>
      </c>
      <c r="O9" s="146">
        <f>SUM(tb_Custo[[#This Row],[SALÁRIO+PER]:[ENCARGOS TRABALHISTAS]])</f>
        <v>23335.72</v>
      </c>
      <c r="P9" s="158">
        <f>tb_Custo[[#This Row],[TOTAL INDIVIDUAL]]/$P$1</f>
        <v>106.07145454545456</v>
      </c>
    </row>
    <row r="10" spans="1:16" s="127" customFormat="1" ht="15" customHeight="1" x14ac:dyDescent="0.3">
      <c r="A10" s="128" t="s">
        <v>30</v>
      </c>
      <c r="B10" s="129" t="s">
        <v>132</v>
      </c>
      <c r="C10" s="130" t="s">
        <v>263</v>
      </c>
      <c r="D10" s="146" t="str">
        <f>_xlfn.XLOOKUP(tb_Custo[[#This Row],[NOME COMPLETO]],Tb_EFETIVO[NOME COMPLETO],Tb_EFETIVO[SITUAÇÃO],"",0,1)</f>
        <v>ATIVO</v>
      </c>
      <c r="E10" s="131" t="s">
        <v>8</v>
      </c>
      <c r="F10" s="132">
        <v>45943</v>
      </c>
      <c r="G10" s="133">
        <f>_xlfn.XLOOKUP(C10,Tb_FUNÇÕES[RESUMO - FUNÇÕES],Tb_FUNÇÕES[SALÁRIO BASE],"",0,1)</f>
        <v>8500</v>
      </c>
      <c r="H10" s="133">
        <f>IF(tb_Custo[[#This Row],[TOMADOR]]="UTGC",tb_Custo[[#This Row],[SALÁRIO BASE]]*1.3,tb_Custo[[#This Row],[SALÁRIO BASE]])</f>
        <v>11050</v>
      </c>
      <c r="I10" s="134">
        <v>1100</v>
      </c>
      <c r="J10" s="134">
        <v>700</v>
      </c>
      <c r="K10" s="134">
        <v>246</v>
      </c>
      <c r="L10" s="134">
        <v>11.32</v>
      </c>
      <c r="M10" s="134"/>
      <c r="N10" s="135">
        <f>tb_Custo[[#This Row],[SALÁRIO+PER]]*0.8</f>
        <v>8840</v>
      </c>
      <c r="O10" s="146">
        <f>SUM(tb_Custo[[#This Row],[SALÁRIO+PER]:[ENCARGOS TRABALHISTAS]])</f>
        <v>21947.32</v>
      </c>
      <c r="P10" s="158">
        <f>tb_Custo[[#This Row],[TOTAL INDIVIDUAL]]/$P$1</f>
        <v>99.760545454545451</v>
      </c>
    </row>
    <row r="11" spans="1:16" s="127" customFormat="1" ht="15" hidden="1" customHeight="1" x14ac:dyDescent="0.3">
      <c r="A11" s="128" t="s">
        <v>30</v>
      </c>
      <c r="B11" s="129" t="s">
        <v>78</v>
      </c>
      <c r="C11" s="129" t="s">
        <v>79</v>
      </c>
      <c r="D11" s="146" t="str">
        <f>_xlfn.XLOOKUP(tb_Custo[[#This Row],[NOME COMPLETO]],Tb_EFETIVO[NOME COMPLETO],Tb_EFETIVO[SITUAÇÃO],"",0,1)</f>
        <v>ATIVO</v>
      </c>
      <c r="E11" s="131" t="s">
        <v>8</v>
      </c>
      <c r="F11" s="132">
        <v>45909</v>
      </c>
      <c r="G11" s="133">
        <f>_xlfn.XLOOKUP(C11,Tb_FUNÇÕES[RESUMO - FUNÇÕES],Tb_FUNÇÕES[SALÁRIO BASE],"",0,1)</f>
        <v>8000</v>
      </c>
      <c r="H11" s="133">
        <f>IF(tb_Custo[[#This Row],[TOMADOR]]="UTGC",tb_Custo[[#This Row],[SALÁRIO BASE]]*1.3,tb_Custo[[#This Row],[SALÁRIO BASE]])</f>
        <v>10400</v>
      </c>
      <c r="I11" s="134">
        <v>1100</v>
      </c>
      <c r="J11" s="134">
        <v>0</v>
      </c>
      <c r="K11" s="134">
        <v>246</v>
      </c>
      <c r="L11" s="134">
        <v>11.32</v>
      </c>
      <c r="M11" s="134">
        <v>3000</v>
      </c>
      <c r="N11" s="135">
        <f>tb_Custo[[#This Row],[SALÁRIO+PER]]*0.8</f>
        <v>8320</v>
      </c>
      <c r="O11" s="146">
        <f>SUM(tb_Custo[[#This Row],[SALÁRIO+PER]:[ENCARGOS TRABALHISTAS]])</f>
        <v>23077.32</v>
      </c>
      <c r="P11" s="158">
        <f>tb_Custo[[#This Row],[TOTAL INDIVIDUAL]]/$P$1</f>
        <v>104.89690909090909</v>
      </c>
    </row>
    <row r="12" spans="1:16" s="127" customFormat="1" ht="15" hidden="1" customHeight="1" x14ac:dyDescent="0.3">
      <c r="A12" s="128" t="s">
        <v>30</v>
      </c>
      <c r="B12" s="129" t="s">
        <v>46</v>
      </c>
      <c r="C12" s="130" t="s">
        <v>71</v>
      </c>
      <c r="D12" s="146" t="str">
        <f>_xlfn.XLOOKUP(tb_Custo[[#This Row],[NOME COMPLETO]],Tb_EFETIVO[NOME COMPLETO],Tb_EFETIVO[SITUAÇÃO],"",0,1)</f>
        <v>ATIVO</v>
      </c>
      <c r="E12" s="131" t="s">
        <v>8</v>
      </c>
      <c r="F12" s="132">
        <v>45919</v>
      </c>
      <c r="G12" s="133">
        <f>_xlfn.XLOOKUP(C12,Tb_FUNÇÕES[RESUMO - FUNÇÕES],Tb_FUNÇÕES[SALÁRIO BASE],"",0,1)</f>
        <v>6525.36</v>
      </c>
      <c r="H12" s="133">
        <f>IF(tb_Custo[[#This Row],[TOMADOR]]="UTGC",tb_Custo[[#This Row],[SALÁRIO BASE]]*1.3,tb_Custo[[#This Row],[SALÁRIO BASE]])</f>
        <v>8482.9680000000008</v>
      </c>
      <c r="I12" s="134">
        <v>1100</v>
      </c>
      <c r="J12" s="134">
        <v>700</v>
      </c>
      <c r="K12" s="134">
        <v>984</v>
      </c>
      <c r="L12" s="134">
        <v>11.32</v>
      </c>
      <c r="M12" s="134"/>
      <c r="N12" s="135">
        <f>tb_Custo[[#This Row],[SALÁRIO+PER]]*0.8</f>
        <v>6786.3744000000006</v>
      </c>
      <c r="O12" s="146">
        <f>SUM(tb_Custo[[#This Row],[SALÁRIO+PER]:[ENCARGOS TRABALHISTAS]])</f>
        <v>18064.662400000001</v>
      </c>
      <c r="P12" s="158">
        <f>tb_Custo[[#This Row],[TOTAL INDIVIDUAL]]/$P$1</f>
        <v>82.112101818181827</v>
      </c>
    </row>
    <row r="13" spans="1:16" s="127" customFormat="1" ht="15" hidden="1" customHeight="1" x14ac:dyDescent="0.3">
      <c r="A13" s="128" t="s">
        <v>30</v>
      </c>
      <c r="B13" s="129" t="s">
        <v>319</v>
      </c>
      <c r="C13" s="130" t="s">
        <v>6</v>
      </c>
      <c r="D13" s="146" t="str">
        <f>_xlfn.XLOOKUP(tb_Custo[[#This Row],[NOME COMPLETO]],Tb_EFETIVO[NOME COMPLETO],Tb_EFETIVO[SITUAÇÃO],"",0,1)</f>
        <v>ATIVO</v>
      </c>
      <c r="E13" s="131" t="s">
        <v>8</v>
      </c>
      <c r="F13" s="132">
        <v>45919</v>
      </c>
      <c r="G13" s="133">
        <f>_xlfn.XLOOKUP(C13,Tb_FUNÇÕES[RESUMO - FUNÇÕES],Tb_FUNÇÕES[SALÁRIO BASE],"",0,1)</f>
        <v>6525.36</v>
      </c>
      <c r="H13" s="133">
        <f>IF(tb_Custo[[#This Row],[TOMADOR]]="UTGC",tb_Custo[[#This Row],[SALÁRIO BASE]]*1.3,tb_Custo[[#This Row],[SALÁRIO BASE]])</f>
        <v>8482.9680000000008</v>
      </c>
      <c r="I13" s="134">
        <v>1100</v>
      </c>
      <c r="J13" s="134">
        <v>700</v>
      </c>
      <c r="K13" s="134">
        <v>246</v>
      </c>
      <c r="L13" s="134">
        <v>11.32</v>
      </c>
      <c r="M13" s="134"/>
      <c r="N13" s="135">
        <f>tb_Custo[[#This Row],[SALÁRIO+PER]]*0.8</f>
        <v>6786.3744000000006</v>
      </c>
      <c r="O13" s="146">
        <f>SUM(tb_Custo[[#This Row],[SALÁRIO+PER]:[ENCARGOS TRABALHISTAS]])</f>
        <v>17326.662400000001</v>
      </c>
      <c r="P13" s="158">
        <f>tb_Custo[[#This Row],[TOTAL INDIVIDUAL]]/$P$1</f>
        <v>78.757556363636368</v>
      </c>
    </row>
    <row r="14" spans="1:16" s="127" customFormat="1" ht="15" hidden="1" customHeight="1" x14ac:dyDescent="0.3">
      <c r="A14" s="128" t="s">
        <v>31</v>
      </c>
      <c r="B14" s="129" t="s">
        <v>353</v>
      </c>
      <c r="C14" s="129" t="s">
        <v>71</v>
      </c>
      <c r="D14" s="146" t="str">
        <f>_xlfn.XLOOKUP(tb_Custo[[#This Row],[NOME COMPLETO]],Tb_EFETIVO[NOME COMPLETO],Tb_EFETIVO[SITUAÇÃO],"",0,1)</f>
        <v>ATIVO</v>
      </c>
      <c r="E14" s="131" t="s">
        <v>8</v>
      </c>
      <c r="F14" s="132">
        <v>46090</v>
      </c>
      <c r="G14" s="133">
        <f>_xlfn.XLOOKUP(C14,Tb_FUNÇÕES[RESUMO - FUNÇÕES],Tb_FUNÇÕES[SALÁRIO BASE],"",0,1)</f>
        <v>6525.36</v>
      </c>
      <c r="H14" s="152">
        <f>IF(tb_Custo[[#This Row],[TOMADOR]]="UTGC",tb_Custo[[#This Row],[SALÁRIO BASE]]*1.3,tb_Custo[[#This Row],[SALÁRIO BASE]])</f>
        <v>6525.36</v>
      </c>
      <c r="I14" s="134">
        <v>0</v>
      </c>
      <c r="J14" s="134">
        <v>0</v>
      </c>
      <c r="K14" s="134">
        <v>0</v>
      </c>
      <c r="L14" s="134">
        <v>0</v>
      </c>
      <c r="M14" s="134"/>
      <c r="N14" s="135">
        <f>tb_Custo[[#This Row],[SALÁRIO+PER]]*0.8</f>
        <v>5220.2880000000005</v>
      </c>
      <c r="O14" s="146">
        <f>SUM(tb_Custo[[#This Row],[SALÁRIO+PER]:[ENCARGOS TRABALHISTAS]])</f>
        <v>11745.648000000001</v>
      </c>
      <c r="P14" s="158">
        <f>tb_Custo[[#This Row],[TOTAL INDIVIDUAL]]/$P$1</f>
        <v>53.389309090909094</v>
      </c>
    </row>
    <row r="15" spans="1:16" s="127" customFormat="1" ht="15" hidden="1" customHeight="1" x14ac:dyDescent="0.3">
      <c r="A15" s="128" t="s">
        <v>31</v>
      </c>
      <c r="B15" s="129" t="s">
        <v>35</v>
      </c>
      <c r="C15" s="130" t="s">
        <v>71</v>
      </c>
      <c r="D15" s="146" t="str">
        <f>_xlfn.XLOOKUP(tb_Custo[[#This Row],[NOME COMPLETO]],Tb_EFETIVO[NOME COMPLETO],Tb_EFETIVO[SITUAÇÃO],"",0,1)</f>
        <v>INATIVO</v>
      </c>
      <c r="E15" s="131" t="s">
        <v>8</v>
      </c>
      <c r="F15" s="132">
        <v>45922</v>
      </c>
      <c r="G15" s="133">
        <f>_xlfn.XLOOKUP(C15,Tb_FUNÇÕES[RESUMO - FUNÇÕES],Tb_FUNÇÕES[SALÁRIO BASE],"",0,1)</f>
        <v>6525.36</v>
      </c>
      <c r="H15" s="133">
        <f>IF(tb_Custo[[#This Row],[TOMADOR]]="UTGC",tb_Custo[[#This Row],[SALÁRIO BASE]]*1.3,tb_Custo[[#This Row],[SALÁRIO BASE]])</f>
        <v>6525.36</v>
      </c>
      <c r="I15" s="134">
        <v>1254</v>
      </c>
      <c r="J15" s="134">
        <v>0</v>
      </c>
      <c r="K15" s="134">
        <v>246</v>
      </c>
      <c r="L15" s="134">
        <v>11.32</v>
      </c>
      <c r="M15" s="134"/>
      <c r="N15" s="135">
        <f>tb_Custo[[#This Row],[SALÁRIO+PER]]*0.8</f>
        <v>5220.2880000000005</v>
      </c>
      <c r="O15" s="146">
        <f>SUM(tb_Custo[[#This Row],[SALÁRIO+PER]:[ENCARGOS TRABALHISTAS]])</f>
        <v>13256.968000000001</v>
      </c>
      <c r="P15" s="158">
        <f>tb_Custo[[#This Row],[TOTAL INDIVIDUAL]]/$P$1</f>
        <v>60.258945454545461</v>
      </c>
    </row>
    <row r="16" spans="1:16" s="127" customFormat="1" x14ac:dyDescent="0.3">
      <c r="A16" s="128" t="s">
        <v>30</v>
      </c>
      <c r="B16" s="129" t="s">
        <v>197</v>
      </c>
      <c r="C16" s="130" t="s">
        <v>193</v>
      </c>
      <c r="D16" s="146" t="str">
        <f>_xlfn.XLOOKUP(tb_Custo[[#This Row],[NOME COMPLETO]],Tb_EFETIVO[NOME COMPLETO],Tb_EFETIVO[SITUAÇÃO],"",0,1)</f>
        <v>ATIVO</v>
      </c>
      <c r="E16" s="131" t="s">
        <v>9</v>
      </c>
      <c r="F16" s="132">
        <v>45967</v>
      </c>
      <c r="G16" s="133">
        <f>_xlfn.XLOOKUP(C16,Tb_FUNÇÕES[RESUMO - FUNÇÕES],Tb_FUNÇÕES[SALÁRIO BASE],"",0,1)</f>
        <v>4975.62</v>
      </c>
      <c r="H16" s="133">
        <f>IF(tb_Custo[[#This Row],[TOMADOR]]="UTGC",tb_Custo[[#This Row],[SALÁRIO BASE]]*1.3,tb_Custo[[#This Row],[SALÁRIO BASE]])</f>
        <v>6468.3060000000005</v>
      </c>
      <c r="I16" s="134">
        <v>1100</v>
      </c>
      <c r="J16" s="134">
        <v>700</v>
      </c>
      <c r="K16" s="134">
        <v>246</v>
      </c>
      <c r="L16" s="134">
        <v>11.32</v>
      </c>
      <c r="M16" s="134"/>
      <c r="N16" s="135">
        <f>tb_Custo[[#This Row],[SALÁRIO+PER]]*0.8</f>
        <v>5174.6448000000009</v>
      </c>
      <c r="O16" s="146">
        <f>SUM(tb_Custo[[#This Row],[SALÁRIO+PER]:[ENCARGOS TRABALHISTAS]])</f>
        <v>13700.270800000002</v>
      </c>
      <c r="P16" s="158">
        <f>tb_Custo[[#This Row],[TOTAL INDIVIDUAL]]/$P$1</f>
        <v>62.273958181818195</v>
      </c>
    </row>
    <row r="17" spans="1:16" s="127" customFormat="1" x14ac:dyDescent="0.3">
      <c r="A17" s="128" t="s">
        <v>30</v>
      </c>
      <c r="B17" s="129" t="s">
        <v>131</v>
      </c>
      <c r="C17" s="130" t="s">
        <v>128</v>
      </c>
      <c r="D17" s="146" t="str">
        <f>_xlfn.XLOOKUP(tb_Custo[[#This Row],[NOME COMPLETO]],Tb_EFETIVO[NOME COMPLETO],Tb_EFETIVO[SITUAÇÃO],"",0,1)</f>
        <v>ATIVO</v>
      </c>
      <c r="E17" s="131" t="s">
        <v>9</v>
      </c>
      <c r="F17" s="132">
        <v>45943</v>
      </c>
      <c r="G17" s="133">
        <f>_xlfn.XLOOKUP(C17,Tb_FUNÇÕES[RESUMO - FUNÇÕES],Tb_FUNÇÕES[SALÁRIO BASE],"",0,1)</f>
        <v>4622.57</v>
      </c>
      <c r="H17" s="133">
        <f>IF(tb_Custo[[#This Row],[TOMADOR]]="UTGC",tb_Custo[[#This Row],[SALÁRIO BASE]]*1.3,tb_Custo[[#This Row],[SALÁRIO BASE]])</f>
        <v>6009.3409999999994</v>
      </c>
      <c r="I17" s="134">
        <v>1100</v>
      </c>
      <c r="J17" s="134">
        <v>700</v>
      </c>
      <c r="K17" s="134">
        <v>246</v>
      </c>
      <c r="L17" s="134">
        <v>11.32</v>
      </c>
      <c r="M17" s="134"/>
      <c r="N17" s="135">
        <f>tb_Custo[[#This Row],[SALÁRIO+PER]]*0.8</f>
        <v>4807.4727999999996</v>
      </c>
      <c r="O17" s="146">
        <f>SUM(tb_Custo[[#This Row],[SALÁRIO+PER]:[ENCARGOS TRABALHISTAS]])</f>
        <v>12874.1338</v>
      </c>
      <c r="P17" s="158">
        <f>tb_Custo[[#This Row],[TOTAL INDIVIDUAL]]/$P$1</f>
        <v>58.518789999999996</v>
      </c>
    </row>
    <row r="18" spans="1:16" s="127" customFormat="1" x14ac:dyDescent="0.3">
      <c r="A18" s="128" t="s">
        <v>30</v>
      </c>
      <c r="B18" s="129" t="s">
        <v>142</v>
      </c>
      <c r="C18" s="130" t="s">
        <v>128</v>
      </c>
      <c r="D18" s="146" t="str">
        <f>_xlfn.XLOOKUP(tb_Custo[[#This Row],[NOME COMPLETO]],Tb_EFETIVO[NOME COMPLETO],Tb_EFETIVO[SITUAÇÃO],"",0,1)</f>
        <v>ATIVO</v>
      </c>
      <c r="E18" s="131" t="s">
        <v>9</v>
      </c>
      <c r="F18" s="132">
        <v>45943</v>
      </c>
      <c r="G18" s="133">
        <f>_xlfn.XLOOKUP(C18,Tb_FUNÇÕES[RESUMO - FUNÇÕES],Tb_FUNÇÕES[SALÁRIO BASE],"",0,1)</f>
        <v>4622.57</v>
      </c>
      <c r="H18" s="133">
        <f>IF(tb_Custo[[#This Row],[TOMADOR]]="UTGC",tb_Custo[[#This Row],[SALÁRIO BASE]]*1.3,tb_Custo[[#This Row],[SALÁRIO BASE]])</f>
        <v>6009.3409999999994</v>
      </c>
      <c r="I18" s="134">
        <v>1100</v>
      </c>
      <c r="J18" s="134">
        <v>700</v>
      </c>
      <c r="K18" s="134">
        <v>738</v>
      </c>
      <c r="L18" s="134">
        <v>11.32</v>
      </c>
      <c r="M18" s="134"/>
      <c r="N18" s="135">
        <f>tb_Custo[[#This Row],[SALÁRIO+PER]]*0.8</f>
        <v>4807.4727999999996</v>
      </c>
      <c r="O18" s="146">
        <f>SUM(tb_Custo[[#This Row],[SALÁRIO+PER]:[ENCARGOS TRABALHISTAS]])</f>
        <v>13366.1338</v>
      </c>
      <c r="P18" s="158">
        <f>tb_Custo[[#This Row],[TOTAL INDIVIDUAL]]/$P$1</f>
        <v>60.755153636363637</v>
      </c>
    </row>
    <row r="19" spans="1:16" s="127" customFormat="1" x14ac:dyDescent="0.3">
      <c r="A19" s="128" t="s">
        <v>30</v>
      </c>
      <c r="B19" s="129" t="s">
        <v>268</v>
      </c>
      <c r="C19" s="130" t="s">
        <v>128</v>
      </c>
      <c r="D19" s="146" t="str">
        <f>_xlfn.XLOOKUP(tb_Custo[[#This Row],[NOME COMPLETO]],Tb_EFETIVO[NOME COMPLETO],Tb_EFETIVO[SITUAÇÃO],"",0,1)</f>
        <v>ATIVO</v>
      </c>
      <c r="E19" s="131" t="s">
        <v>9</v>
      </c>
      <c r="F19" s="132">
        <v>45992</v>
      </c>
      <c r="G19" s="133">
        <f>_xlfn.XLOOKUP(C19,Tb_FUNÇÕES[RESUMO - FUNÇÕES],Tb_FUNÇÕES[SALÁRIO BASE],"",0,1)</f>
        <v>4622.57</v>
      </c>
      <c r="H19" s="133">
        <f>IF(tb_Custo[[#This Row],[TOMADOR]]="UTGC",tb_Custo[[#This Row],[SALÁRIO BASE]]*1.3,tb_Custo[[#This Row],[SALÁRIO BASE]])</f>
        <v>6009.3409999999994</v>
      </c>
      <c r="I19" s="134">
        <v>1100</v>
      </c>
      <c r="J19" s="134">
        <v>700</v>
      </c>
      <c r="K19" s="134">
        <v>246</v>
      </c>
      <c r="L19" s="134">
        <v>11.32</v>
      </c>
      <c r="M19" s="134"/>
      <c r="N19" s="135">
        <f>tb_Custo[[#This Row],[SALÁRIO+PER]]*0.8</f>
        <v>4807.4727999999996</v>
      </c>
      <c r="O19" s="146">
        <f>SUM(tb_Custo[[#This Row],[SALÁRIO+PER]:[ENCARGOS TRABALHISTAS]])</f>
        <v>12874.1338</v>
      </c>
      <c r="P19" s="158">
        <f>tb_Custo[[#This Row],[TOTAL INDIVIDUAL]]/$P$1</f>
        <v>58.518789999999996</v>
      </c>
    </row>
    <row r="20" spans="1:16" s="127" customFormat="1" x14ac:dyDescent="0.3">
      <c r="A20" s="128" t="s">
        <v>30</v>
      </c>
      <c r="B20" s="129" t="s">
        <v>145</v>
      </c>
      <c r="C20" s="130" t="s">
        <v>128</v>
      </c>
      <c r="D20" s="146" t="str">
        <f>_xlfn.XLOOKUP(tb_Custo[[#This Row],[NOME COMPLETO]],Tb_EFETIVO[NOME COMPLETO],Tb_EFETIVO[SITUAÇÃO],"",0,1)</f>
        <v>ATIVO</v>
      </c>
      <c r="E20" s="131" t="s">
        <v>9</v>
      </c>
      <c r="F20" s="132">
        <v>45943</v>
      </c>
      <c r="G20" s="133">
        <f>_xlfn.XLOOKUP(C20,Tb_FUNÇÕES[RESUMO - FUNÇÕES],Tb_FUNÇÕES[SALÁRIO BASE],"",0,1)</f>
        <v>4622.57</v>
      </c>
      <c r="H20" s="133">
        <f>IF(tb_Custo[[#This Row],[TOMADOR]]="UTGC",tb_Custo[[#This Row],[SALÁRIO BASE]]*1.3,tb_Custo[[#This Row],[SALÁRIO BASE]])</f>
        <v>6009.3409999999994</v>
      </c>
      <c r="I20" s="134">
        <v>1063.3399999999999</v>
      </c>
      <c r="J20" s="134">
        <v>700</v>
      </c>
      <c r="K20" s="134">
        <v>492</v>
      </c>
      <c r="L20" s="134">
        <v>11.32</v>
      </c>
      <c r="M20" s="134"/>
      <c r="N20" s="135">
        <f>tb_Custo[[#This Row],[SALÁRIO+PER]]*0.8</f>
        <v>4807.4727999999996</v>
      </c>
      <c r="O20" s="146">
        <f>SUM(tb_Custo[[#This Row],[SALÁRIO+PER]:[ENCARGOS TRABALHISTAS]])</f>
        <v>13083.4738</v>
      </c>
      <c r="P20" s="158">
        <f>tb_Custo[[#This Row],[TOTAL INDIVIDUAL]]/$P$1</f>
        <v>59.470335454545456</v>
      </c>
    </row>
    <row r="21" spans="1:16" s="127" customFormat="1" hidden="1" x14ac:dyDescent="0.3">
      <c r="A21" s="128" t="s">
        <v>30</v>
      </c>
      <c r="B21" s="129" t="s">
        <v>320</v>
      </c>
      <c r="C21" s="129" t="s">
        <v>68</v>
      </c>
      <c r="D21" s="146" t="str">
        <f>_xlfn.XLOOKUP(tb_Custo[[#This Row],[NOME COMPLETO]],Tb_EFETIVO[NOME COMPLETO],Tb_EFETIVO[SITUAÇÃO],"",0,1)</f>
        <v>ATIVO</v>
      </c>
      <c r="E21" s="131" t="s">
        <v>8</v>
      </c>
      <c r="F21" s="132">
        <v>46083</v>
      </c>
      <c r="G21" s="133">
        <f>_xlfn.XLOOKUP(C21,Tb_FUNÇÕES[RESUMO - FUNÇÕES],Tb_FUNÇÕES[SALÁRIO BASE],"",0,1)</f>
        <v>4425.3</v>
      </c>
      <c r="H21" s="152">
        <f>IF(tb_Custo[[#This Row],[TOMADOR]]="UTGC",tb_Custo[[#This Row],[SALÁRIO BASE]]*1.3,tb_Custo[[#This Row],[SALÁRIO BASE]])</f>
        <v>5752.89</v>
      </c>
      <c r="I21" s="134">
        <v>0</v>
      </c>
      <c r="J21" s="134">
        <v>0</v>
      </c>
      <c r="K21" s="134">
        <v>0</v>
      </c>
      <c r="L21" s="134">
        <v>0</v>
      </c>
      <c r="M21" s="134"/>
      <c r="N21" s="135">
        <f>tb_Custo[[#This Row],[SALÁRIO+PER]]*0.8</f>
        <v>4602.3120000000008</v>
      </c>
      <c r="O21" s="146">
        <f>SUM(tb_Custo[[#This Row],[SALÁRIO+PER]:[ENCARGOS TRABALHISTAS]])</f>
        <v>10355.202000000001</v>
      </c>
      <c r="P21" s="158">
        <f>tb_Custo[[#This Row],[TOTAL INDIVIDUAL]]/$P$1</f>
        <v>47.069100000000006</v>
      </c>
    </row>
    <row r="22" spans="1:16" s="127" customFormat="1" hidden="1" x14ac:dyDescent="0.3">
      <c r="A22" s="128" t="s">
        <v>30</v>
      </c>
      <c r="B22" s="129" t="s">
        <v>41</v>
      </c>
      <c r="C22" s="130" t="s">
        <v>67</v>
      </c>
      <c r="D22" s="146" t="str">
        <f>_xlfn.XLOOKUP(tb_Custo[[#This Row],[NOME COMPLETO]],Tb_EFETIVO[NOME COMPLETO],Tb_EFETIVO[SITUAÇÃO],"",0,1)</f>
        <v>ATIVO</v>
      </c>
      <c r="E22" s="131" t="s">
        <v>8</v>
      </c>
      <c r="F22" s="132">
        <v>45917</v>
      </c>
      <c r="G22" s="133">
        <f>_xlfn.XLOOKUP(C22,Tb_FUNÇÕES[RESUMO - FUNÇÕES],Tb_FUNÇÕES[SALÁRIO BASE],"",0,1)</f>
        <v>4425.3</v>
      </c>
      <c r="H22" s="133">
        <f>IF(tb_Custo[[#This Row],[TOMADOR]]="UTGC",tb_Custo[[#This Row],[SALÁRIO BASE]]*1.3,tb_Custo[[#This Row],[SALÁRIO BASE]])</f>
        <v>5752.89</v>
      </c>
      <c r="I22" s="134">
        <v>1100</v>
      </c>
      <c r="J22" s="134">
        <v>700</v>
      </c>
      <c r="K22" s="134">
        <v>738</v>
      </c>
      <c r="L22" s="134">
        <v>11.32</v>
      </c>
      <c r="M22" s="134"/>
      <c r="N22" s="135">
        <f>tb_Custo[[#This Row],[SALÁRIO+PER]]*0.8</f>
        <v>4602.3120000000008</v>
      </c>
      <c r="O22" s="146">
        <f>SUM(tb_Custo[[#This Row],[SALÁRIO+PER]:[ENCARGOS TRABALHISTAS]])</f>
        <v>12904.522000000001</v>
      </c>
      <c r="P22" s="158">
        <f>tb_Custo[[#This Row],[TOTAL INDIVIDUAL]]/$P$1</f>
        <v>58.656918181818185</v>
      </c>
    </row>
    <row r="23" spans="1:16" s="127" customFormat="1" hidden="1" x14ac:dyDescent="0.3">
      <c r="A23" s="128" t="s">
        <v>30</v>
      </c>
      <c r="B23" s="129" t="s">
        <v>42</v>
      </c>
      <c r="C23" s="130" t="s">
        <v>68</v>
      </c>
      <c r="D23" s="146" t="str">
        <f>_xlfn.XLOOKUP(tb_Custo[[#This Row],[NOME COMPLETO]],Tb_EFETIVO[NOME COMPLETO],Tb_EFETIVO[SITUAÇÃO],"",0,1)</f>
        <v>ATIVO</v>
      </c>
      <c r="E23" s="131" t="s">
        <v>8</v>
      </c>
      <c r="F23" s="132">
        <v>45917</v>
      </c>
      <c r="G23" s="133">
        <f>_xlfn.XLOOKUP(C23,Tb_FUNÇÕES[RESUMO - FUNÇÕES],Tb_FUNÇÕES[SALÁRIO BASE],"",0,1)</f>
        <v>4425.3</v>
      </c>
      <c r="H23" s="133">
        <f>IF(tb_Custo[[#This Row],[TOMADOR]]="UTGC",tb_Custo[[#This Row],[SALÁRIO BASE]]*1.3,tb_Custo[[#This Row],[SALÁRIO BASE]])</f>
        <v>5752.89</v>
      </c>
      <c r="I23" s="134">
        <v>1100</v>
      </c>
      <c r="J23" s="134">
        <v>700</v>
      </c>
      <c r="K23" s="134">
        <v>738</v>
      </c>
      <c r="L23" s="134">
        <v>11.32</v>
      </c>
      <c r="M23" s="134"/>
      <c r="N23" s="135">
        <f>tb_Custo[[#This Row],[SALÁRIO+PER]]*0.8</f>
        <v>4602.3120000000008</v>
      </c>
      <c r="O23" s="146">
        <f>SUM(tb_Custo[[#This Row],[SALÁRIO+PER]:[ENCARGOS TRABALHISTAS]])</f>
        <v>12904.522000000001</v>
      </c>
      <c r="P23" s="158">
        <f>tb_Custo[[#This Row],[TOTAL INDIVIDUAL]]/$P$1</f>
        <v>58.656918181818185</v>
      </c>
    </row>
    <row r="24" spans="1:16" s="127" customFormat="1" hidden="1" x14ac:dyDescent="0.3">
      <c r="A24" s="128" t="s">
        <v>30</v>
      </c>
      <c r="B24" s="129" t="s">
        <v>44</v>
      </c>
      <c r="C24" s="130" t="s">
        <v>68</v>
      </c>
      <c r="D24" s="146" t="str">
        <f>_xlfn.XLOOKUP(tb_Custo[[#This Row],[NOME COMPLETO]],Tb_EFETIVO[NOME COMPLETO],Tb_EFETIVO[SITUAÇÃO],"",0,1)</f>
        <v>ATIVO</v>
      </c>
      <c r="E24" s="131" t="s">
        <v>8</v>
      </c>
      <c r="F24" s="132">
        <v>45917</v>
      </c>
      <c r="G24" s="133">
        <f>_xlfn.XLOOKUP(C24,Tb_FUNÇÕES[RESUMO - FUNÇÕES],Tb_FUNÇÕES[SALÁRIO BASE],"",0,1)</f>
        <v>4425.3</v>
      </c>
      <c r="H24" s="133">
        <f>IF(tb_Custo[[#This Row],[TOMADOR]]="UTGC",tb_Custo[[#This Row],[SALÁRIO BASE]]*1.3,tb_Custo[[#This Row],[SALÁRIO BASE]])</f>
        <v>5752.89</v>
      </c>
      <c r="I24" s="134">
        <v>1100</v>
      </c>
      <c r="J24" s="134">
        <v>700</v>
      </c>
      <c r="K24" s="134">
        <v>984</v>
      </c>
      <c r="L24" s="134">
        <v>11.32</v>
      </c>
      <c r="M24" s="134"/>
      <c r="N24" s="135">
        <f>tb_Custo[[#This Row],[SALÁRIO+PER]]*0.8</f>
        <v>4602.3120000000008</v>
      </c>
      <c r="O24" s="146">
        <f>SUM(tb_Custo[[#This Row],[SALÁRIO+PER]:[ENCARGOS TRABALHISTAS]])</f>
        <v>13150.522000000001</v>
      </c>
      <c r="P24" s="158">
        <f>tb_Custo[[#This Row],[TOTAL INDIVIDUAL]]/$P$1</f>
        <v>59.775100000000002</v>
      </c>
    </row>
    <row r="25" spans="1:16" s="127" customFormat="1" hidden="1" x14ac:dyDescent="0.3">
      <c r="A25" s="128" t="s">
        <v>30</v>
      </c>
      <c r="B25" s="129" t="s">
        <v>47</v>
      </c>
      <c r="C25" s="130" t="s">
        <v>69</v>
      </c>
      <c r="D25" s="146" t="str">
        <f>_xlfn.XLOOKUP(tb_Custo[[#This Row],[NOME COMPLETO]],Tb_EFETIVO[NOME COMPLETO],Tb_EFETIVO[SITUAÇÃO],"",0,1)</f>
        <v>ATIVO</v>
      </c>
      <c r="E25" s="131" t="s">
        <v>8</v>
      </c>
      <c r="F25" s="132">
        <v>45917</v>
      </c>
      <c r="G25" s="133">
        <f>_xlfn.XLOOKUP(C25,Tb_FUNÇÕES[RESUMO - FUNÇÕES],Tb_FUNÇÕES[SALÁRIO BASE],"",0,1)</f>
        <v>4425.3</v>
      </c>
      <c r="H25" s="133">
        <f>IF(tb_Custo[[#This Row],[TOMADOR]]="UTGC",tb_Custo[[#This Row],[SALÁRIO BASE]]*1.3,tb_Custo[[#This Row],[SALÁRIO BASE]])</f>
        <v>5752.89</v>
      </c>
      <c r="I25" s="134">
        <v>1100</v>
      </c>
      <c r="J25" s="134">
        <v>700</v>
      </c>
      <c r="K25" s="134">
        <v>246</v>
      </c>
      <c r="L25" s="134">
        <v>11.32</v>
      </c>
      <c r="M25" s="134"/>
      <c r="N25" s="135">
        <f>tb_Custo[[#This Row],[SALÁRIO+PER]]*0.8</f>
        <v>4602.3120000000008</v>
      </c>
      <c r="O25" s="146">
        <f>SUM(tb_Custo[[#This Row],[SALÁRIO+PER]:[ENCARGOS TRABALHISTAS]])</f>
        <v>12412.522000000001</v>
      </c>
      <c r="P25" s="158">
        <f>tb_Custo[[#This Row],[TOTAL INDIVIDUAL]]/$P$1</f>
        <v>56.42055454545455</v>
      </c>
    </row>
    <row r="26" spans="1:16" s="127" customFormat="1" x14ac:dyDescent="0.3">
      <c r="A26" s="128" t="s">
        <v>30</v>
      </c>
      <c r="B26" s="129" t="s">
        <v>194</v>
      </c>
      <c r="C26" s="130" t="s">
        <v>127</v>
      </c>
      <c r="D26" s="146" t="str">
        <f>_xlfn.XLOOKUP(tb_Custo[[#This Row],[NOME COMPLETO]],Tb_EFETIVO[NOME COMPLETO],Tb_EFETIVO[SITUAÇÃO],"",0,1)</f>
        <v>ATIVO</v>
      </c>
      <c r="E26" s="131" t="s">
        <v>9</v>
      </c>
      <c r="F26" s="132">
        <v>45967</v>
      </c>
      <c r="G26" s="133">
        <f>_xlfn.XLOOKUP(C26,Tb_FUNÇÕES[RESUMO - FUNÇÕES],Tb_FUNÇÕES[SALÁRIO BASE],"",0,1)</f>
        <v>4402.45</v>
      </c>
      <c r="H26" s="133">
        <f>IF(tb_Custo[[#This Row],[TOMADOR]]="UTGC",tb_Custo[[#This Row],[SALÁRIO BASE]]*1.3,tb_Custo[[#This Row],[SALÁRIO BASE]])</f>
        <v>5723.1850000000004</v>
      </c>
      <c r="I26" s="134">
        <v>1100</v>
      </c>
      <c r="J26" s="134">
        <v>700</v>
      </c>
      <c r="K26" s="134">
        <v>492</v>
      </c>
      <c r="L26" s="134">
        <v>11.32</v>
      </c>
      <c r="M26" s="134"/>
      <c r="N26" s="135">
        <f>tb_Custo[[#This Row],[SALÁRIO+PER]]*0.8</f>
        <v>4578.5480000000007</v>
      </c>
      <c r="O26" s="146">
        <f>SUM(tb_Custo[[#This Row],[SALÁRIO+PER]:[ENCARGOS TRABALHISTAS]])</f>
        <v>12605.053</v>
      </c>
      <c r="P26" s="158">
        <f>tb_Custo[[#This Row],[TOTAL INDIVIDUAL]]/$P$1</f>
        <v>57.295695454545452</v>
      </c>
    </row>
    <row r="27" spans="1:16" s="127" customFormat="1" x14ac:dyDescent="0.3">
      <c r="A27" s="136" t="s">
        <v>30</v>
      </c>
      <c r="B27" s="137" t="s">
        <v>309</v>
      </c>
      <c r="C27" s="137" t="s">
        <v>127</v>
      </c>
      <c r="D27" s="146" t="str">
        <f>_xlfn.XLOOKUP(tb_Custo[[#This Row],[NOME COMPLETO]],Tb_EFETIVO[NOME COMPLETO],Tb_EFETIVO[SITUAÇÃO],"",0,1)</f>
        <v>ATIVO</v>
      </c>
      <c r="E27" s="131" t="s">
        <v>9</v>
      </c>
      <c r="F27" s="132">
        <v>46062</v>
      </c>
      <c r="G27" s="133">
        <f>_xlfn.XLOOKUP(C27,Tb_FUNÇÕES[RESUMO - FUNÇÕES],Tb_FUNÇÕES[SALÁRIO BASE],"",0,1)</f>
        <v>4402.45</v>
      </c>
      <c r="H27" s="133">
        <f>IF(tb_Custo[[#This Row],[TOMADOR]]="UTGC",tb_Custo[[#This Row],[SALÁRIO BASE]]*1.3,tb_Custo[[#This Row],[SALÁRIO BASE]])</f>
        <v>5723.1850000000004</v>
      </c>
      <c r="I27" s="134">
        <v>1100</v>
      </c>
      <c r="J27" s="134">
        <v>700</v>
      </c>
      <c r="K27" s="134">
        <v>492</v>
      </c>
      <c r="L27" s="134">
        <v>11.32</v>
      </c>
      <c r="M27" s="134"/>
      <c r="N27" s="135">
        <f>tb_Custo[[#This Row],[SALÁRIO+PER]]*0.8</f>
        <v>4578.5480000000007</v>
      </c>
      <c r="O27" s="146">
        <f>SUM(tb_Custo[[#This Row],[SALÁRIO+PER]:[ENCARGOS TRABALHISTAS]])</f>
        <v>12605.053</v>
      </c>
      <c r="P27" s="158">
        <f>tb_Custo[[#This Row],[TOTAL INDIVIDUAL]]/$P$1</f>
        <v>57.295695454545452</v>
      </c>
    </row>
    <row r="28" spans="1:16" s="127" customFormat="1" x14ac:dyDescent="0.3">
      <c r="A28" s="128" t="s">
        <v>30</v>
      </c>
      <c r="B28" s="129" t="s">
        <v>51</v>
      </c>
      <c r="C28" s="130" t="s">
        <v>127</v>
      </c>
      <c r="D28" s="146" t="str">
        <f>_xlfn.XLOOKUP(tb_Custo[[#This Row],[NOME COMPLETO]],Tb_EFETIVO[NOME COMPLETO],Tb_EFETIVO[SITUAÇÃO],"",0,1)</f>
        <v>ATIVO</v>
      </c>
      <c r="E28" s="131" t="s">
        <v>9</v>
      </c>
      <c r="F28" s="132">
        <v>45931</v>
      </c>
      <c r="G28" s="133">
        <f>_xlfn.XLOOKUP(C28,Tb_FUNÇÕES[RESUMO - FUNÇÕES],Tb_FUNÇÕES[SALÁRIO BASE],"",0,1)</f>
        <v>4402.45</v>
      </c>
      <c r="H28" s="133">
        <f>IF(tb_Custo[[#This Row],[TOMADOR]]="UTGC",tb_Custo[[#This Row],[SALÁRIO BASE]]*1.3,tb_Custo[[#This Row],[SALÁRIO BASE]])</f>
        <v>5723.1850000000004</v>
      </c>
      <c r="I28" s="134">
        <v>1100</v>
      </c>
      <c r="J28" s="134">
        <v>700</v>
      </c>
      <c r="K28" s="134">
        <v>738</v>
      </c>
      <c r="L28" s="134">
        <v>11.32</v>
      </c>
      <c r="M28" s="134"/>
      <c r="N28" s="135">
        <f>tb_Custo[[#This Row],[SALÁRIO+PER]]*0.8</f>
        <v>4578.5480000000007</v>
      </c>
      <c r="O28" s="146">
        <f>SUM(tb_Custo[[#This Row],[SALÁRIO+PER]:[ENCARGOS TRABALHISTAS]])</f>
        <v>12851.053000000002</v>
      </c>
      <c r="P28" s="158">
        <f>tb_Custo[[#This Row],[TOTAL INDIVIDUAL]]/$P$1</f>
        <v>58.413877272727284</v>
      </c>
    </row>
    <row r="29" spans="1:16" s="127" customFormat="1" x14ac:dyDescent="0.3">
      <c r="A29" s="136" t="s">
        <v>30</v>
      </c>
      <c r="B29" s="137" t="s">
        <v>311</v>
      </c>
      <c r="C29" s="137" t="s">
        <v>127</v>
      </c>
      <c r="D29" s="146" t="str">
        <f>_xlfn.XLOOKUP(tb_Custo[[#This Row],[NOME COMPLETO]],Tb_EFETIVO[NOME COMPLETO],Tb_EFETIVO[SITUAÇÃO],"",0,1)</f>
        <v>ATIVO</v>
      </c>
      <c r="E29" s="131" t="s">
        <v>9</v>
      </c>
      <c r="F29" s="132">
        <v>46062</v>
      </c>
      <c r="G29" s="133">
        <f>_xlfn.XLOOKUP(C29,Tb_FUNÇÕES[RESUMO - FUNÇÕES],Tb_FUNÇÕES[SALÁRIO BASE],"",0,1)</f>
        <v>4402.45</v>
      </c>
      <c r="H29" s="133">
        <f>IF(tb_Custo[[#This Row],[TOMADOR]]="UTGC",tb_Custo[[#This Row],[SALÁRIO BASE]]*1.3,tb_Custo[[#This Row],[SALÁRIO BASE]])</f>
        <v>5723.1850000000004</v>
      </c>
      <c r="I29" s="134">
        <v>1100</v>
      </c>
      <c r="J29" s="134">
        <v>700</v>
      </c>
      <c r="K29" s="134">
        <v>1230</v>
      </c>
      <c r="L29" s="134">
        <v>11.32</v>
      </c>
      <c r="M29" s="134"/>
      <c r="N29" s="135">
        <f>tb_Custo[[#This Row],[SALÁRIO+PER]]*0.8</f>
        <v>4578.5480000000007</v>
      </c>
      <c r="O29" s="146">
        <f>SUM(tb_Custo[[#This Row],[SALÁRIO+PER]:[ENCARGOS TRABALHISTAS]])</f>
        <v>13343.053000000002</v>
      </c>
      <c r="P29" s="158">
        <f>tb_Custo[[#This Row],[TOTAL INDIVIDUAL]]/$P$1</f>
        <v>60.650240909090918</v>
      </c>
    </row>
    <row r="30" spans="1:16" s="127" customFormat="1" x14ac:dyDescent="0.3">
      <c r="A30" s="128" t="s">
        <v>30</v>
      </c>
      <c r="B30" s="129" t="s">
        <v>53</v>
      </c>
      <c r="C30" s="130" t="s">
        <v>127</v>
      </c>
      <c r="D30" s="146" t="str">
        <f>_xlfn.XLOOKUP(tb_Custo[[#This Row],[NOME COMPLETO]],Tb_EFETIVO[NOME COMPLETO],Tb_EFETIVO[SITUAÇÃO],"",0,1)</f>
        <v>ATIVO</v>
      </c>
      <c r="E30" s="131" t="s">
        <v>9</v>
      </c>
      <c r="F30" s="132">
        <v>45931</v>
      </c>
      <c r="G30" s="133">
        <f>_xlfn.XLOOKUP(C30,Tb_FUNÇÕES[RESUMO - FUNÇÕES],Tb_FUNÇÕES[SALÁRIO BASE],"",0,1)</f>
        <v>4402.45</v>
      </c>
      <c r="H30" s="133">
        <f>IF(tb_Custo[[#This Row],[TOMADOR]]="UTGC",tb_Custo[[#This Row],[SALÁRIO BASE]]*1.3,tb_Custo[[#This Row],[SALÁRIO BASE]])</f>
        <v>5723.1850000000004</v>
      </c>
      <c r="I30" s="134">
        <v>1100</v>
      </c>
      <c r="J30" s="134">
        <v>700</v>
      </c>
      <c r="K30" s="134">
        <v>246</v>
      </c>
      <c r="L30" s="134">
        <v>11.32</v>
      </c>
      <c r="M30" s="134"/>
      <c r="N30" s="135">
        <f>tb_Custo[[#This Row],[SALÁRIO+PER]]*0.8</f>
        <v>4578.5480000000007</v>
      </c>
      <c r="O30" s="146">
        <f>SUM(tb_Custo[[#This Row],[SALÁRIO+PER]:[ENCARGOS TRABALHISTAS]])</f>
        <v>12359.053</v>
      </c>
      <c r="P30" s="158">
        <f>tb_Custo[[#This Row],[TOTAL INDIVIDUAL]]/$P$1</f>
        <v>56.177513636363635</v>
      </c>
    </row>
    <row r="31" spans="1:16" s="127" customFormat="1" x14ac:dyDescent="0.3">
      <c r="A31" s="128" t="s">
        <v>30</v>
      </c>
      <c r="B31" s="129" t="s">
        <v>56</v>
      </c>
      <c r="C31" s="130" t="s">
        <v>127</v>
      </c>
      <c r="D31" s="146" t="str">
        <f>_xlfn.XLOOKUP(tb_Custo[[#This Row],[NOME COMPLETO]],Tb_EFETIVO[NOME COMPLETO],Tb_EFETIVO[SITUAÇÃO],"",0,1)</f>
        <v>ATIVO</v>
      </c>
      <c r="E31" s="131" t="s">
        <v>9</v>
      </c>
      <c r="F31" s="132">
        <v>45931</v>
      </c>
      <c r="G31" s="133">
        <f>_xlfn.XLOOKUP(C31,Tb_FUNÇÕES[RESUMO - FUNÇÕES],Tb_FUNÇÕES[SALÁRIO BASE],"",0,1)</f>
        <v>4402.45</v>
      </c>
      <c r="H31" s="133">
        <f>IF(tb_Custo[[#This Row],[TOMADOR]]="UTGC",tb_Custo[[#This Row],[SALÁRIO BASE]]*1.3,tb_Custo[[#This Row],[SALÁRIO BASE]])</f>
        <v>5723.1850000000004</v>
      </c>
      <c r="I31" s="134">
        <v>1100</v>
      </c>
      <c r="J31" s="134">
        <v>700</v>
      </c>
      <c r="K31" s="134">
        <v>492</v>
      </c>
      <c r="L31" s="134">
        <v>11.32</v>
      </c>
      <c r="M31" s="134"/>
      <c r="N31" s="135">
        <f>tb_Custo[[#This Row],[SALÁRIO+PER]]*0.8</f>
        <v>4578.5480000000007</v>
      </c>
      <c r="O31" s="146">
        <f>SUM(tb_Custo[[#This Row],[SALÁRIO+PER]:[ENCARGOS TRABALHISTAS]])</f>
        <v>12605.053</v>
      </c>
      <c r="P31" s="158">
        <f>tb_Custo[[#This Row],[TOTAL INDIVIDUAL]]/$P$1</f>
        <v>57.295695454545452</v>
      </c>
    </row>
    <row r="32" spans="1:16" s="127" customFormat="1" x14ac:dyDescent="0.3">
      <c r="A32" s="128" t="s">
        <v>30</v>
      </c>
      <c r="B32" s="129" t="s">
        <v>57</v>
      </c>
      <c r="C32" s="130" t="s">
        <v>127</v>
      </c>
      <c r="D32" s="146" t="str">
        <f>_xlfn.XLOOKUP(tb_Custo[[#This Row],[NOME COMPLETO]],Tb_EFETIVO[NOME COMPLETO],Tb_EFETIVO[SITUAÇÃO],"",0,1)</f>
        <v>ATIVO</v>
      </c>
      <c r="E32" s="131" t="s">
        <v>9</v>
      </c>
      <c r="F32" s="132">
        <v>45931</v>
      </c>
      <c r="G32" s="133">
        <f>_xlfn.XLOOKUP(C32,Tb_FUNÇÕES[RESUMO - FUNÇÕES],Tb_FUNÇÕES[SALÁRIO BASE],"",0,1)</f>
        <v>4402.45</v>
      </c>
      <c r="H32" s="133">
        <f>IF(tb_Custo[[#This Row],[TOMADOR]]="UTGC",tb_Custo[[#This Row],[SALÁRIO BASE]]*1.3,tb_Custo[[#This Row],[SALÁRIO BASE]])</f>
        <v>5723.1850000000004</v>
      </c>
      <c r="I32" s="134">
        <v>1100</v>
      </c>
      <c r="J32" s="134">
        <v>700</v>
      </c>
      <c r="K32" s="134">
        <v>246</v>
      </c>
      <c r="L32" s="134">
        <v>11.32</v>
      </c>
      <c r="M32" s="134"/>
      <c r="N32" s="135">
        <f>tb_Custo[[#This Row],[SALÁRIO+PER]]*0.8</f>
        <v>4578.5480000000007</v>
      </c>
      <c r="O32" s="146">
        <f>SUM(tb_Custo[[#This Row],[SALÁRIO+PER]:[ENCARGOS TRABALHISTAS]])</f>
        <v>12359.053</v>
      </c>
      <c r="P32" s="158">
        <f>tb_Custo[[#This Row],[TOTAL INDIVIDUAL]]/$P$1</f>
        <v>56.177513636363635</v>
      </c>
    </row>
    <row r="33" spans="1:16" s="127" customFormat="1" x14ac:dyDescent="0.3">
      <c r="A33" s="128" t="s">
        <v>30</v>
      </c>
      <c r="B33" s="129" t="s">
        <v>58</v>
      </c>
      <c r="C33" s="130" t="s">
        <v>127</v>
      </c>
      <c r="D33" s="146" t="str">
        <f>_xlfn.XLOOKUP(tb_Custo[[#This Row],[NOME COMPLETO]],Tb_EFETIVO[NOME COMPLETO],Tb_EFETIVO[SITUAÇÃO],"",0,1)</f>
        <v>ATIVO</v>
      </c>
      <c r="E33" s="131" t="s">
        <v>9</v>
      </c>
      <c r="F33" s="132">
        <v>45931</v>
      </c>
      <c r="G33" s="133">
        <f>_xlfn.XLOOKUP(C33,Tb_FUNÇÕES[RESUMO - FUNÇÕES],Tb_FUNÇÕES[SALÁRIO BASE],"",0,1)</f>
        <v>4402.45</v>
      </c>
      <c r="H33" s="133">
        <f>IF(tb_Custo[[#This Row],[TOMADOR]]="UTGC",tb_Custo[[#This Row],[SALÁRIO BASE]]*1.3,tb_Custo[[#This Row],[SALÁRIO BASE]])</f>
        <v>5723.1850000000004</v>
      </c>
      <c r="I33" s="134">
        <v>1100</v>
      </c>
      <c r="J33" s="134">
        <v>700</v>
      </c>
      <c r="K33" s="134">
        <v>738</v>
      </c>
      <c r="L33" s="134">
        <v>11.32</v>
      </c>
      <c r="M33" s="134"/>
      <c r="N33" s="135">
        <f>tb_Custo[[#This Row],[SALÁRIO+PER]]*0.8</f>
        <v>4578.5480000000007</v>
      </c>
      <c r="O33" s="146">
        <f>SUM(tb_Custo[[#This Row],[SALÁRIO+PER]:[ENCARGOS TRABALHISTAS]])</f>
        <v>12851.053000000002</v>
      </c>
      <c r="P33" s="158">
        <f>tb_Custo[[#This Row],[TOTAL INDIVIDUAL]]/$P$1</f>
        <v>58.413877272727284</v>
      </c>
    </row>
    <row r="34" spans="1:16" s="127" customFormat="1" ht="15" customHeight="1" x14ac:dyDescent="0.3">
      <c r="A34" s="136" t="s">
        <v>30</v>
      </c>
      <c r="B34" s="137" t="s">
        <v>307</v>
      </c>
      <c r="C34" s="137" t="s">
        <v>123</v>
      </c>
      <c r="D34" s="146" t="str">
        <f>_xlfn.XLOOKUP(tb_Custo[[#This Row],[NOME COMPLETO]],Tb_EFETIVO[NOME COMPLETO],Tb_EFETIVO[SITUAÇÃO],"",0,1)</f>
        <v>ATIVO</v>
      </c>
      <c r="E34" s="131" t="s">
        <v>9</v>
      </c>
      <c r="F34" s="132">
        <v>46062</v>
      </c>
      <c r="G34" s="133">
        <f>_xlfn.XLOOKUP(C34,Tb_FUNÇÕES[RESUMO - FUNÇÕES],Tb_FUNÇÕES[SALÁRIO BASE],"",0,1)</f>
        <v>3847.53</v>
      </c>
      <c r="H34" s="133">
        <f>IF(tb_Custo[[#This Row],[TOMADOR]]="UTGC",tb_Custo[[#This Row],[SALÁRIO BASE]]*1.3,tb_Custo[[#This Row],[SALÁRIO BASE]])</f>
        <v>5001.7890000000007</v>
      </c>
      <c r="I34" s="134">
        <v>1100</v>
      </c>
      <c r="J34" s="134">
        <v>700</v>
      </c>
      <c r="K34" s="134">
        <v>246</v>
      </c>
      <c r="L34" s="134">
        <v>11.32</v>
      </c>
      <c r="M34" s="134"/>
      <c r="N34" s="135">
        <f>tb_Custo[[#This Row],[SALÁRIO+PER]]*0.8</f>
        <v>4001.4312000000009</v>
      </c>
      <c r="O34" s="146">
        <f>SUM(tb_Custo[[#This Row],[SALÁRIO+PER]:[ENCARGOS TRABALHISTAS]])</f>
        <v>11060.540200000001</v>
      </c>
      <c r="P34" s="158">
        <f>tb_Custo[[#This Row],[TOTAL INDIVIDUAL]]/$P$1</f>
        <v>50.275182727272735</v>
      </c>
    </row>
    <row r="35" spans="1:16" s="127" customFormat="1" ht="15" customHeight="1" x14ac:dyDescent="0.3">
      <c r="A35" s="128" t="s">
        <v>30</v>
      </c>
      <c r="B35" s="129" t="s">
        <v>48</v>
      </c>
      <c r="C35" s="130" t="s">
        <v>123</v>
      </c>
      <c r="D35" s="146" t="str">
        <f>_xlfn.XLOOKUP(tb_Custo[[#This Row],[NOME COMPLETO]],Tb_EFETIVO[NOME COMPLETO],Tb_EFETIVO[SITUAÇÃO],"",0,1)</f>
        <v>ATIVO</v>
      </c>
      <c r="E35" s="131" t="s">
        <v>9</v>
      </c>
      <c r="F35" s="132">
        <v>45931</v>
      </c>
      <c r="G35" s="133">
        <f>_xlfn.XLOOKUP(C35,Tb_FUNÇÕES[RESUMO - FUNÇÕES],Tb_FUNÇÕES[SALÁRIO BASE],"",0,1)</f>
        <v>3847.53</v>
      </c>
      <c r="H35" s="133">
        <f>IF(tb_Custo[[#This Row],[TOMADOR]]="UTGC",tb_Custo[[#This Row],[SALÁRIO BASE]]*1.3,tb_Custo[[#This Row],[SALÁRIO BASE]])</f>
        <v>5001.7890000000007</v>
      </c>
      <c r="I35" s="134">
        <v>1100</v>
      </c>
      <c r="J35" s="134">
        <v>700</v>
      </c>
      <c r="K35" s="134">
        <v>492</v>
      </c>
      <c r="L35" s="134">
        <v>11.32</v>
      </c>
      <c r="M35" s="134"/>
      <c r="N35" s="135">
        <f>tb_Custo[[#This Row],[SALÁRIO+PER]]*0.8</f>
        <v>4001.4312000000009</v>
      </c>
      <c r="O35" s="146">
        <f>SUM(tb_Custo[[#This Row],[SALÁRIO+PER]:[ENCARGOS TRABALHISTAS]])</f>
        <v>11306.540200000001</v>
      </c>
      <c r="P35" s="158">
        <f>tb_Custo[[#This Row],[TOTAL INDIVIDUAL]]/$P$1</f>
        <v>51.393364545454553</v>
      </c>
    </row>
    <row r="36" spans="1:16" s="127" customFormat="1" ht="15" customHeight="1" x14ac:dyDescent="0.3">
      <c r="A36" s="128" t="s">
        <v>30</v>
      </c>
      <c r="B36" s="129" t="s">
        <v>49</v>
      </c>
      <c r="C36" s="130" t="s">
        <v>123</v>
      </c>
      <c r="D36" s="146" t="str">
        <f>_xlfn.XLOOKUP(tb_Custo[[#This Row],[NOME COMPLETO]],Tb_EFETIVO[NOME COMPLETO],Tb_EFETIVO[SITUAÇÃO],"",0,1)</f>
        <v>ATIVO</v>
      </c>
      <c r="E36" s="131" t="s">
        <v>9</v>
      </c>
      <c r="F36" s="132">
        <v>45931</v>
      </c>
      <c r="G36" s="133">
        <f>_xlfn.XLOOKUP(C36,Tb_FUNÇÕES[RESUMO - FUNÇÕES],Tb_FUNÇÕES[SALÁRIO BASE],"",0,1)</f>
        <v>3847.53</v>
      </c>
      <c r="H36" s="133">
        <f>IF(tb_Custo[[#This Row],[TOMADOR]]="UTGC",tb_Custo[[#This Row],[SALÁRIO BASE]]*1.3,tb_Custo[[#This Row],[SALÁRIO BASE]])</f>
        <v>5001.7890000000007</v>
      </c>
      <c r="I36" s="134">
        <v>1063.3399999999999</v>
      </c>
      <c r="J36" s="134">
        <v>700</v>
      </c>
      <c r="K36" s="134">
        <v>246</v>
      </c>
      <c r="L36" s="134">
        <v>11.32</v>
      </c>
      <c r="M36" s="134"/>
      <c r="N36" s="135">
        <f>tb_Custo[[#This Row],[SALÁRIO+PER]]*0.8</f>
        <v>4001.4312000000009</v>
      </c>
      <c r="O36" s="146">
        <f>SUM(tb_Custo[[#This Row],[SALÁRIO+PER]:[ENCARGOS TRABALHISTAS]])</f>
        <v>11023.880200000001</v>
      </c>
      <c r="P36" s="158">
        <f>tb_Custo[[#This Row],[TOTAL INDIVIDUAL]]/$P$1</f>
        <v>50.108546363636371</v>
      </c>
    </row>
    <row r="37" spans="1:16" s="127" customFormat="1" ht="15" customHeight="1" x14ac:dyDescent="0.3">
      <c r="A37" s="128" t="s">
        <v>30</v>
      </c>
      <c r="B37" s="129" t="s">
        <v>195</v>
      </c>
      <c r="C37" s="130" t="s">
        <v>123</v>
      </c>
      <c r="D37" s="146" t="str">
        <f>_xlfn.XLOOKUP(tb_Custo[[#This Row],[NOME COMPLETO]],Tb_EFETIVO[NOME COMPLETO],Tb_EFETIVO[SITUAÇÃO],"",0,1)</f>
        <v>ATIVO</v>
      </c>
      <c r="E37" s="131" t="s">
        <v>9</v>
      </c>
      <c r="F37" s="132">
        <v>45967</v>
      </c>
      <c r="G37" s="133">
        <f>_xlfn.XLOOKUP(C37,Tb_FUNÇÕES[RESUMO - FUNÇÕES],Tb_FUNÇÕES[SALÁRIO BASE],"",0,1)</f>
        <v>3847.53</v>
      </c>
      <c r="H37" s="133">
        <f>IF(tb_Custo[[#This Row],[TOMADOR]]="UTGC",tb_Custo[[#This Row],[SALÁRIO BASE]]*1.3,tb_Custo[[#This Row],[SALÁRIO BASE]])</f>
        <v>5001.7890000000007</v>
      </c>
      <c r="I37" s="134">
        <v>1100</v>
      </c>
      <c r="J37" s="134">
        <v>700</v>
      </c>
      <c r="K37" s="134">
        <v>246</v>
      </c>
      <c r="L37" s="134">
        <v>11.32</v>
      </c>
      <c r="M37" s="134"/>
      <c r="N37" s="135">
        <f>tb_Custo[[#This Row],[SALÁRIO+PER]]*0.8</f>
        <v>4001.4312000000009</v>
      </c>
      <c r="O37" s="146">
        <f>SUM(tb_Custo[[#This Row],[SALÁRIO+PER]:[ENCARGOS TRABALHISTAS]])</f>
        <v>11060.540200000001</v>
      </c>
      <c r="P37" s="158">
        <f>tb_Custo[[#This Row],[TOTAL INDIVIDUAL]]/$P$1</f>
        <v>50.275182727272735</v>
      </c>
    </row>
    <row r="38" spans="1:16" s="127" customFormat="1" ht="15" customHeight="1" x14ac:dyDescent="0.3">
      <c r="A38" s="128" t="s">
        <v>30</v>
      </c>
      <c r="B38" s="129" t="s">
        <v>52</v>
      </c>
      <c r="C38" s="130" t="s">
        <v>123</v>
      </c>
      <c r="D38" s="146" t="str">
        <f>_xlfn.XLOOKUP(tb_Custo[[#This Row],[NOME COMPLETO]],Tb_EFETIVO[NOME COMPLETO],Tb_EFETIVO[SITUAÇÃO],"",0,1)</f>
        <v>ATIVO</v>
      </c>
      <c r="E38" s="131" t="s">
        <v>9</v>
      </c>
      <c r="F38" s="132">
        <v>45931</v>
      </c>
      <c r="G38" s="133">
        <f>_xlfn.XLOOKUP(C38,Tb_FUNÇÕES[RESUMO - FUNÇÕES],Tb_FUNÇÕES[SALÁRIO BASE],"",0,1)</f>
        <v>3847.53</v>
      </c>
      <c r="H38" s="133">
        <f>IF(tb_Custo[[#This Row],[TOMADOR]]="UTGC",tb_Custo[[#This Row],[SALÁRIO BASE]]*1.3,tb_Custo[[#This Row],[SALÁRIO BASE]])</f>
        <v>5001.7890000000007</v>
      </c>
      <c r="I38" s="134">
        <v>1100</v>
      </c>
      <c r="J38" s="134">
        <v>700</v>
      </c>
      <c r="K38" s="134">
        <v>246</v>
      </c>
      <c r="L38" s="134">
        <v>11.32</v>
      </c>
      <c r="M38" s="134"/>
      <c r="N38" s="135">
        <f>tb_Custo[[#This Row],[SALÁRIO+PER]]*0.8</f>
        <v>4001.4312000000009</v>
      </c>
      <c r="O38" s="146">
        <f>SUM(tb_Custo[[#This Row],[SALÁRIO+PER]:[ENCARGOS TRABALHISTAS]])</f>
        <v>11060.540200000001</v>
      </c>
      <c r="P38" s="158">
        <f>tb_Custo[[#This Row],[TOTAL INDIVIDUAL]]/$P$1</f>
        <v>50.275182727272735</v>
      </c>
    </row>
    <row r="39" spans="1:16" s="127" customFormat="1" ht="15" customHeight="1" x14ac:dyDescent="0.3">
      <c r="A39" s="128" t="s">
        <v>30</v>
      </c>
      <c r="B39" s="129" t="s">
        <v>196</v>
      </c>
      <c r="C39" s="130" t="s">
        <v>123</v>
      </c>
      <c r="D39" s="146" t="str">
        <f>_xlfn.XLOOKUP(tb_Custo[[#This Row],[NOME COMPLETO]],Tb_EFETIVO[NOME COMPLETO],Tb_EFETIVO[SITUAÇÃO],"",0,1)</f>
        <v>ATIVO</v>
      </c>
      <c r="E39" s="131" t="s">
        <v>9</v>
      </c>
      <c r="F39" s="132">
        <v>45967</v>
      </c>
      <c r="G39" s="133">
        <f>_xlfn.XLOOKUP(C39,Tb_FUNÇÕES[RESUMO - FUNÇÕES],Tb_FUNÇÕES[SALÁRIO BASE],"",0,1)</f>
        <v>3847.53</v>
      </c>
      <c r="H39" s="133">
        <f>IF(tb_Custo[[#This Row],[TOMADOR]]="UTGC",tb_Custo[[#This Row],[SALÁRIO BASE]]*1.3,tb_Custo[[#This Row],[SALÁRIO BASE]])</f>
        <v>5001.7890000000007</v>
      </c>
      <c r="I39" s="134">
        <v>1100</v>
      </c>
      <c r="J39" s="134">
        <v>700</v>
      </c>
      <c r="K39" s="134">
        <v>246</v>
      </c>
      <c r="L39" s="134">
        <v>11.32</v>
      </c>
      <c r="M39" s="134"/>
      <c r="N39" s="135">
        <f>tb_Custo[[#This Row],[SALÁRIO+PER]]*0.8</f>
        <v>4001.4312000000009</v>
      </c>
      <c r="O39" s="146">
        <f>SUM(tb_Custo[[#This Row],[SALÁRIO+PER]:[ENCARGOS TRABALHISTAS]])</f>
        <v>11060.540200000001</v>
      </c>
      <c r="P39" s="158">
        <f>tb_Custo[[#This Row],[TOTAL INDIVIDUAL]]/$P$1</f>
        <v>50.275182727272735</v>
      </c>
    </row>
    <row r="40" spans="1:16" s="127" customFormat="1" ht="15" hidden="1" customHeight="1" x14ac:dyDescent="0.3">
      <c r="A40" s="128" t="s">
        <v>30</v>
      </c>
      <c r="B40" s="129" t="s">
        <v>76</v>
      </c>
      <c r="C40" s="130" t="s">
        <v>5</v>
      </c>
      <c r="D40" s="146" t="str">
        <f>_xlfn.XLOOKUP(tb_Custo[[#This Row],[NOME COMPLETO]],Tb_EFETIVO[NOME COMPLETO],Tb_EFETIVO[SITUAÇÃO],"",0,1)</f>
        <v>ATIVO</v>
      </c>
      <c r="E40" s="131" t="s">
        <v>8</v>
      </c>
      <c r="F40" s="132">
        <v>45918</v>
      </c>
      <c r="G40" s="133">
        <f>_xlfn.XLOOKUP(C40,Tb_FUNÇÕES[RESUMO - FUNÇÕES],Tb_FUNÇÕES[SALÁRIO BASE],"",0,1)</f>
        <v>3800</v>
      </c>
      <c r="H40" s="133">
        <f>IF(tb_Custo[[#This Row],[TOMADOR]]="UTGC",tb_Custo[[#This Row],[SALÁRIO BASE]]*1.3,tb_Custo[[#This Row],[SALÁRIO BASE]])</f>
        <v>4940</v>
      </c>
      <c r="I40" s="134">
        <v>1100</v>
      </c>
      <c r="J40" s="134">
        <v>700</v>
      </c>
      <c r="K40" s="134">
        <v>984</v>
      </c>
      <c r="L40" s="134">
        <v>11.32</v>
      </c>
      <c r="M40" s="134"/>
      <c r="N40" s="135">
        <f>tb_Custo[[#This Row],[SALÁRIO+PER]]*0.8</f>
        <v>3952</v>
      </c>
      <c r="O40" s="146">
        <f>SUM(tb_Custo[[#This Row],[SALÁRIO+PER]:[ENCARGOS TRABALHISTAS]])</f>
        <v>11687.32</v>
      </c>
      <c r="P40" s="158">
        <f>tb_Custo[[#This Row],[TOTAL INDIVIDUAL]]/$P$1</f>
        <v>53.124181818181818</v>
      </c>
    </row>
    <row r="41" spans="1:16" s="127" customFormat="1" ht="15" customHeight="1" x14ac:dyDescent="0.3">
      <c r="A41" s="128" t="s">
        <v>30</v>
      </c>
      <c r="B41" s="129" t="s">
        <v>173</v>
      </c>
      <c r="C41" s="130" t="s">
        <v>139</v>
      </c>
      <c r="D41" s="146" t="str">
        <f>_xlfn.XLOOKUP(tb_Custo[[#This Row],[NOME COMPLETO]],Tb_EFETIVO[NOME COMPLETO],Tb_EFETIVO[SITUAÇÃO],"",0,1)</f>
        <v>ATIVO</v>
      </c>
      <c r="E41" s="131" t="s">
        <v>9</v>
      </c>
      <c r="F41" s="132">
        <v>45950</v>
      </c>
      <c r="G41" s="133">
        <f>_xlfn.XLOOKUP(C41,Tb_FUNÇÕES[RESUMO - FUNÇÕES],Tb_FUNÇÕES[SALÁRIO BASE],"",0,1)</f>
        <v>3494.9</v>
      </c>
      <c r="H41" s="133">
        <f>IF(tb_Custo[[#This Row],[TOMADOR]]="UTGC",tb_Custo[[#This Row],[SALÁRIO BASE]]*1.3,tb_Custo[[#This Row],[SALÁRIO BASE]])</f>
        <v>4543.37</v>
      </c>
      <c r="I41" s="134">
        <v>1100</v>
      </c>
      <c r="J41" s="134">
        <v>700</v>
      </c>
      <c r="K41" s="134">
        <v>492</v>
      </c>
      <c r="L41" s="134">
        <v>11.32</v>
      </c>
      <c r="M41" s="134"/>
      <c r="N41" s="135">
        <f>tb_Custo[[#This Row],[SALÁRIO+PER]]*0.8</f>
        <v>3634.6959999999999</v>
      </c>
      <c r="O41" s="146">
        <f>SUM(tb_Custo[[#This Row],[SALÁRIO+PER]:[ENCARGOS TRABALHISTAS]])</f>
        <v>10481.385999999999</v>
      </c>
      <c r="P41" s="158">
        <f>tb_Custo[[#This Row],[TOTAL INDIVIDUAL]]/$P$1</f>
        <v>47.642663636363629</v>
      </c>
    </row>
    <row r="42" spans="1:16" s="127" customFormat="1" ht="15" customHeight="1" x14ac:dyDescent="0.3">
      <c r="A42" s="128" t="s">
        <v>30</v>
      </c>
      <c r="B42" s="129" t="s">
        <v>222</v>
      </c>
      <c r="C42" s="130" t="s">
        <v>139</v>
      </c>
      <c r="D42" s="146" t="str">
        <f>_xlfn.XLOOKUP(tb_Custo[[#This Row],[NOME COMPLETO]],Tb_EFETIVO[NOME COMPLETO],Tb_EFETIVO[SITUAÇÃO],"",0,1)</f>
        <v>ATIVO</v>
      </c>
      <c r="E42" s="131" t="s">
        <v>9</v>
      </c>
      <c r="F42" s="132">
        <v>45978</v>
      </c>
      <c r="G42" s="133">
        <f>_xlfn.XLOOKUP(C42,Tb_FUNÇÕES[RESUMO - FUNÇÕES],Tb_FUNÇÕES[SALÁRIO BASE],"",0,1)</f>
        <v>3494.9</v>
      </c>
      <c r="H42" s="133">
        <f>IF(tb_Custo[[#This Row],[TOMADOR]]="UTGC",tb_Custo[[#This Row],[SALÁRIO BASE]]*1.3,tb_Custo[[#This Row],[SALÁRIO BASE]])</f>
        <v>4543.37</v>
      </c>
      <c r="I42" s="134">
        <v>1063.3399999999999</v>
      </c>
      <c r="J42" s="134">
        <v>700</v>
      </c>
      <c r="K42" s="134">
        <v>738</v>
      </c>
      <c r="L42" s="134">
        <v>11.32</v>
      </c>
      <c r="M42" s="134"/>
      <c r="N42" s="135">
        <f>tb_Custo[[#This Row],[SALÁRIO+PER]]*0.8</f>
        <v>3634.6959999999999</v>
      </c>
      <c r="O42" s="146">
        <f>SUM(tb_Custo[[#This Row],[SALÁRIO+PER]:[ENCARGOS TRABALHISTAS]])</f>
        <v>10690.725999999999</v>
      </c>
      <c r="P42" s="158">
        <f>tb_Custo[[#This Row],[TOTAL INDIVIDUAL]]/$P$1</f>
        <v>48.594209090909082</v>
      </c>
    </row>
    <row r="43" spans="1:16" s="127" customFormat="1" ht="15" customHeight="1" x14ac:dyDescent="0.3">
      <c r="A43" s="128" t="s">
        <v>30</v>
      </c>
      <c r="B43" s="129" t="s">
        <v>143</v>
      </c>
      <c r="C43" s="130" t="s">
        <v>139</v>
      </c>
      <c r="D43" s="146" t="str">
        <f>_xlfn.XLOOKUP(tb_Custo[[#This Row],[NOME COMPLETO]],Tb_EFETIVO[NOME COMPLETO],Tb_EFETIVO[SITUAÇÃO],"",0,1)</f>
        <v>ATIVO</v>
      </c>
      <c r="E43" s="131" t="s">
        <v>9</v>
      </c>
      <c r="F43" s="132">
        <v>45943</v>
      </c>
      <c r="G43" s="133">
        <f>_xlfn.XLOOKUP(C43,Tb_FUNÇÕES[RESUMO - FUNÇÕES],Tb_FUNÇÕES[SALÁRIO BASE],"",0,1)</f>
        <v>3494.9</v>
      </c>
      <c r="H43" s="133">
        <f>IF(tb_Custo[[#This Row],[TOMADOR]]="UTGC",tb_Custo[[#This Row],[SALÁRIO BASE]]*1.3,tb_Custo[[#This Row],[SALÁRIO BASE]])</f>
        <v>4543.37</v>
      </c>
      <c r="I43" s="134">
        <v>1063.3399999999999</v>
      </c>
      <c r="J43" s="134">
        <v>700</v>
      </c>
      <c r="K43" s="134">
        <v>492</v>
      </c>
      <c r="L43" s="134">
        <v>11.32</v>
      </c>
      <c r="M43" s="134"/>
      <c r="N43" s="135">
        <f>tb_Custo[[#This Row],[SALÁRIO+PER]]*0.8</f>
        <v>3634.6959999999999</v>
      </c>
      <c r="O43" s="146">
        <f>SUM(tb_Custo[[#This Row],[SALÁRIO+PER]:[ENCARGOS TRABALHISTAS]])</f>
        <v>10444.725999999999</v>
      </c>
      <c r="P43" s="158">
        <f>tb_Custo[[#This Row],[TOTAL INDIVIDUAL]]/$P$1</f>
        <v>47.476027272727265</v>
      </c>
    </row>
    <row r="44" spans="1:16" s="127" customFormat="1" ht="15" customHeight="1" x14ac:dyDescent="0.3">
      <c r="A44" s="128" t="s">
        <v>30</v>
      </c>
      <c r="B44" s="129" t="s">
        <v>355</v>
      </c>
      <c r="C44" s="129" t="s">
        <v>139</v>
      </c>
      <c r="D44" s="146" t="str">
        <f>_xlfn.XLOOKUP(tb_Custo[[#This Row],[NOME COMPLETO]],Tb_EFETIVO[NOME COMPLETO],Tb_EFETIVO[SITUAÇÃO],"",0,1)</f>
        <v>ATIVO</v>
      </c>
      <c r="E44" s="131" t="s">
        <v>9</v>
      </c>
      <c r="F44" s="132">
        <v>46090</v>
      </c>
      <c r="G44" s="133">
        <f>_xlfn.XLOOKUP(C44,Tb_FUNÇÕES[RESUMO - FUNÇÕES],Tb_FUNÇÕES[SALÁRIO BASE],"",0,1)</f>
        <v>3494.9</v>
      </c>
      <c r="H44" s="152">
        <f>IF(tb_Custo[[#This Row],[TOMADOR]]="UTGC",tb_Custo[[#This Row],[SALÁRIO BASE]]*1.3,tb_Custo[[#This Row],[SALÁRIO BASE]])</f>
        <v>4543.37</v>
      </c>
      <c r="I44" s="134">
        <v>0</v>
      </c>
      <c r="J44" s="134">
        <v>0</v>
      </c>
      <c r="K44" s="134">
        <v>0</v>
      </c>
      <c r="L44" s="134">
        <v>0</v>
      </c>
      <c r="M44" s="134"/>
      <c r="N44" s="135">
        <f>tb_Custo[[#This Row],[SALÁRIO+PER]]*0.8</f>
        <v>3634.6959999999999</v>
      </c>
      <c r="O44" s="146">
        <f>SUM(tb_Custo[[#This Row],[SALÁRIO+PER]:[ENCARGOS TRABALHISTAS]])</f>
        <v>8178.0659999999998</v>
      </c>
      <c r="P44" s="158">
        <f>tb_Custo[[#This Row],[TOTAL INDIVIDUAL]]/$P$1</f>
        <v>37.173027272727275</v>
      </c>
    </row>
    <row r="45" spans="1:16" s="127" customFormat="1" ht="15" customHeight="1" x14ac:dyDescent="0.3">
      <c r="A45" s="128" t="s">
        <v>30</v>
      </c>
      <c r="B45" s="129" t="s">
        <v>297</v>
      </c>
      <c r="C45" s="130" t="s">
        <v>139</v>
      </c>
      <c r="D45" s="146" t="str">
        <f>_xlfn.XLOOKUP(tb_Custo[[#This Row],[NOME COMPLETO]],Tb_EFETIVO[NOME COMPLETO],Tb_EFETIVO[SITUAÇÃO],"",0,1)</f>
        <v>ATIVO</v>
      </c>
      <c r="E45" s="131" t="s">
        <v>9</v>
      </c>
      <c r="F45" s="132">
        <v>46055</v>
      </c>
      <c r="G45" s="133">
        <f>_xlfn.XLOOKUP(C45,Tb_FUNÇÕES[RESUMO - FUNÇÕES],Tb_FUNÇÕES[SALÁRIO BASE],"",0,1)</f>
        <v>3494.9</v>
      </c>
      <c r="H45" s="133">
        <f>IF(tb_Custo[[#This Row],[TOMADOR]]="UTGC",tb_Custo[[#This Row],[SALÁRIO BASE]]*1.3,tb_Custo[[#This Row],[SALÁRIO BASE]])</f>
        <v>4543.37</v>
      </c>
      <c r="I45" s="134">
        <v>1100</v>
      </c>
      <c r="J45" s="134">
        <v>700</v>
      </c>
      <c r="K45" s="134">
        <v>246</v>
      </c>
      <c r="L45" s="134">
        <v>11.32</v>
      </c>
      <c r="M45" s="134"/>
      <c r="N45" s="135">
        <f>tb_Custo[[#This Row],[SALÁRIO+PER]]*0.8</f>
        <v>3634.6959999999999</v>
      </c>
      <c r="O45" s="146">
        <f>SUM(tb_Custo[[#This Row],[SALÁRIO+PER]:[ENCARGOS TRABALHISTAS]])</f>
        <v>10235.385999999999</v>
      </c>
      <c r="P45" s="158">
        <f>tb_Custo[[#This Row],[TOTAL INDIVIDUAL]]/$P$1</f>
        <v>46.524481818181812</v>
      </c>
    </row>
    <row r="46" spans="1:16" s="127" customFormat="1" ht="15" hidden="1" customHeight="1" x14ac:dyDescent="0.3">
      <c r="A46" s="128" t="s">
        <v>31</v>
      </c>
      <c r="B46" s="129" t="s">
        <v>33</v>
      </c>
      <c r="C46" s="130" t="s">
        <v>68</v>
      </c>
      <c r="D46" s="146" t="str">
        <f>_xlfn.XLOOKUP(tb_Custo[[#This Row],[NOME COMPLETO]],Tb_EFETIVO[NOME COMPLETO],Tb_EFETIVO[SITUAÇÃO],"",0,1)</f>
        <v>ATIVO</v>
      </c>
      <c r="E46" s="131" t="s">
        <v>8</v>
      </c>
      <c r="F46" s="132">
        <v>45922</v>
      </c>
      <c r="G46" s="133">
        <f>_xlfn.XLOOKUP(C46,Tb_FUNÇÕES[RESUMO - FUNÇÕES],Tb_FUNÇÕES[SALÁRIO BASE],"",0,1)</f>
        <v>4425.3</v>
      </c>
      <c r="H46" s="133">
        <f>IF(tb_Custo[[#This Row],[TOMADOR]]="UTGC",tb_Custo[[#This Row],[SALÁRIO BASE]]*1.3,tb_Custo[[#This Row],[SALÁRIO BASE]])</f>
        <v>4425.3</v>
      </c>
      <c r="I46" s="134">
        <v>1254</v>
      </c>
      <c r="J46" s="134">
        <v>224.4</v>
      </c>
      <c r="K46" s="134">
        <v>492</v>
      </c>
      <c r="L46" s="134">
        <v>11.32</v>
      </c>
      <c r="M46" s="134"/>
      <c r="N46" s="135">
        <f>tb_Custo[[#This Row],[SALÁRIO+PER]]*0.8</f>
        <v>3540.2400000000002</v>
      </c>
      <c r="O46" s="146">
        <f>SUM(tb_Custo[[#This Row],[SALÁRIO+PER]:[ENCARGOS TRABALHISTAS]])</f>
        <v>9947.26</v>
      </c>
      <c r="P46" s="158">
        <f>tb_Custo[[#This Row],[TOTAL INDIVIDUAL]]/$P$1</f>
        <v>45.214818181818181</v>
      </c>
    </row>
    <row r="47" spans="1:16" s="127" customFormat="1" ht="15" hidden="1" customHeight="1" x14ac:dyDescent="0.3">
      <c r="A47" s="128" t="s">
        <v>31</v>
      </c>
      <c r="B47" s="129" t="s">
        <v>37</v>
      </c>
      <c r="C47" s="130" t="s">
        <v>67</v>
      </c>
      <c r="D47" s="146" t="str">
        <f>_xlfn.XLOOKUP(tb_Custo[[#This Row],[NOME COMPLETO]],Tb_EFETIVO[NOME COMPLETO],Tb_EFETIVO[SITUAÇÃO],"",0,1)</f>
        <v>ATIVO</v>
      </c>
      <c r="E47" s="131" t="s">
        <v>8</v>
      </c>
      <c r="F47" s="132">
        <v>45919</v>
      </c>
      <c r="G47" s="133">
        <f>_xlfn.XLOOKUP(C47,Tb_FUNÇÕES[RESUMO - FUNÇÕES],Tb_FUNÇÕES[SALÁRIO BASE],"",0,1)</f>
        <v>4425.3</v>
      </c>
      <c r="H47" s="133">
        <f>IF(tb_Custo[[#This Row],[TOMADOR]]="UTGC",tb_Custo[[#This Row],[SALÁRIO BASE]]*1.3,tb_Custo[[#This Row],[SALÁRIO BASE]])</f>
        <v>4425.3</v>
      </c>
      <c r="I47" s="134">
        <v>1254</v>
      </c>
      <c r="J47" s="134">
        <v>224.4</v>
      </c>
      <c r="K47" s="134">
        <v>246</v>
      </c>
      <c r="L47" s="134">
        <v>11.32</v>
      </c>
      <c r="M47" s="134"/>
      <c r="N47" s="135">
        <f>tb_Custo[[#This Row],[SALÁRIO+PER]]*0.8</f>
        <v>3540.2400000000002</v>
      </c>
      <c r="O47" s="146">
        <f>SUM(tb_Custo[[#This Row],[SALÁRIO+PER]:[ENCARGOS TRABALHISTAS]])</f>
        <v>9701.26</v>
      </c>
      <c r="P47" s="158">
        <f>tb_Custo[[#This Row],[TOTAL INDIVIDUAL]]/$P$1</f>
        <v>44.096636363636364</v>
      </c>
    </row>
    <row r="48" spans="1:16" s="127" customFormat="1" ht="15" hidden="1" customHeight="1" x14ac:dyDescent="0.3">
      <c r="A48" s="128" t="s">
        <v>31</v>
      </c>
      <c r="B48" s="129" t="s">
        <v>281</v>
      </c>
      <c r="C48" s="130" t="s">
        <v>68</v>
      </c>
      <c r="D48" s="146" t="str">
        <f>_xlfn.XLOOKUP(tb_Custo[[#This Row],[NOME COMPLETO]],Tb_EFETIVO[NOME COMPLETO],Tb_EFETIVO[SITUAÇÃO],"",0,1)</f>
        <v>ATIVO</v>
      </c>
      <c r="E48" s="131" t="s">
        <v>8</v>
      </c>
      <c r="F48" s="132">
        <v>46034</v>
      </c>
      <c r="G48" s="133">
        <f>_xlfn.XLOOKUP(C48,Tb_FUNÇÕES[RESUMO - FUNÇÕES],Tb_FUNÇÕES[SALÁRIO BASE],"",0,1)</f>
        <v>4425.3</v>
      </c>
      <c r="H48" s="133">
        <f>IF(tb_Custo[[#This Row],[TOMADOR]]="UTGC",tb_Custo[[#This Row],[SALÁRIO BASE]]*1.3,tb_Custo[[#This Row],[SALÁRIO BASE]])</f>
        <v>4425.3</v>
      </c>
      <c r="I48" s="134">
        <v>1254</v>
      </c>
      <c r="J48" s="134">
        <v>224.4</v>
      </c>
      <c r="K48" s="134">
        <v>738</v>
      </c>
      <c r="L48" s="134">
        <v>11.32</v>
      </c>
      <c r="M48" s="134"/>
      <c r="N48" s="135">
        <f>tb_Custo[[#This Row],[SALÁRIO+PER]]*0.8</f>
        <v>3540.2400000000002</v>
      </c>
      <c r="O48" s="146">
        <f>SUM(tb_Custo[[#This Row],[SALÁRIO+PER]:[ENCARGOS TRABALHISTAS]])</f>
        <v>10193.26</v>
      </c>
      <c r="P48" s="158">
        <f>tb_Custo[[#This Row],[TOTAL INDIVIDUAL]]/$P$1</f>
        <v>46.332999999999998</v>
      </c>
    </row>
    <row r="49" spans="1:16" s="127" customFormat="1" ht="15" hidden="1" customHeight="1" x14ac:dyDescent="0.3">
      <c r="A49" s="128" t="s">
        <v>31</v>
      </c>
      <c r="B49" s="129" t="s">
        <v>226</v>
      </c>
      <c r="C49" s="130" t="s">
        <v>69</v>
      </c>
      <c r="D49" s="146" t="str">
        <f>_xlfn.XLOOKUP(tb_Custo[[#This Row],[NOME COMPLETO]],Tb_EFETIVO[NOME COMPLETO],Tb_EFETIVO[SITUAÇÃO],"",0,1)</f>
        <v>ATIVO</v>
      </c>
      <c r="E49" s="131" t="s">
        <v>8</v>
      </c>
      <c r="F49" s="132">
        <v>45917</v>
      </c>
      <c r="G49" s="133">
        <f>_xlfn.XLOOKUP(C49,Tb_FUNÇÕES[RESUMO - FUNÇÕES],Tb_FUNÇÕES[SALÁRIO BASE],"",0,1)</f>
        <v>4425.3</v>
      </c>
      <c r="H49" s="133">
        <f>IF(tb_Custo[[#This Row],[TOMADOR]]="UTGC",tb_Custo[[#This Row],[SALÁRIO BASE]]*1.3,tb_Custo[[#This Row],[SALÁRIO BASE]])</f>
        <v>4425.3</v>
      </c>
      <c r="I49" s="134">
        <v>1254</v>
      </c>
      <c r="J49" s="134">
        <v>0</v>
      </c>
      <c r="K49" s="134">
        <v>738</v>
      </c>
      <c r="L49" s="134">
        <v>11.32</v>
      </c>
      <c r="M49" s="134"/>
      <c r="N49" s="135">
        <f>tb_Custo[[#This Row],[SALÁRIO+PER]]*0.8</f>
        <v>3540.2400000000002</v>
      </c>
      <c r="O49" s="146">
        <f>SUM(tb_Custo[[#This Row],[SALÁRIO+PER]:[ENCARGOS TRABALHISTAS]])</f>
        <v>9968.86</v>
      </c>
      <c r="P49" s="158">
        <f>tb_Custo[[#This Row],[TOTAL INDIVIDUAL]]/$P$1</f>
        <v>45.313000000000002</v>
      </c>
    </row>
    <row r="50" spans="1:16" s="127" customFormat="1" ht="15" hidden="1" customHeight="1" x14ac:dyDescent="0.3">
      <c r="A50" s="128" t="s">
        <v>31</v>
      </c>
      <c r="B50" s="129" t="s">
        <v>167</v>
      </c>
      <c r="C50" s="130" t="s">
        <v>127</v>
      </c>
      <c r="D50" s="146" t="str">
        <f>_xlfn.XLOOKUP(tb_Custo[[#This Row],[NOME COMPLETO]],Tb_EFETIVO[NOME COMPLETO],Tb_EFETIVO[SITUAÇÃO],"",0,1)</f>
        <v>ATIVO</v>
      </c>
      <c r="E50" s="131" t="s">
        <v>9</v>
      </c>
      <c r="F50" s="132">
        <v>45952</v>
      </c>
      <c r="G50" s="133">
        <f>_xlfn.XLOOKUP(C50,Tb_FUNÇÕES[RESUMO - FUNÇÕES],Tb_FUNÇÕES[SALÁRIO BASE],"",0,1)</f>
        <v>4402.45</v>
      </c>
      <c r="H50" s="133">
        <f>IF(tb_Custo[[#This Row],[TOMADOR]]="UTGC",tb_Custo[[#This Row],[SALÁRIO BASE]]*1.3,tb_Custo[[#This Row],[SALÁRIO BASE]])</f>
        <v>4402.45</v>
      </c>
      <c r="I50" s="134">
        <v>1254</v>
      </c>
      <c r="J50" s="134">
        <v>224.4</v>
      </c>
      <c r="K50" s="134">
        <v>738</v>
      </c>
      <c r="L50" s="134">
        <v>11.32</v>
      </c>
      <c r="M50" s="134"/>
      <c r="N50" s="135">
        <f>tb_Custo[[#This Row],[SALÁRIO+PER]]*0.8</f>
        <v>3521.96</v>
      </c>
      <c r="O50" s="146">
        <f>SUM(tb_Custo[[#This Row],[SALÁRIO+PER]:[ENCARGOS TRABALHISTAS]])</f>
        <v>10152.129999999999</v>
      </c>
      <c r="P50" s="158">
        <f>tb_Custo[[#This Row],[TOTAL INDIVIDUAL]]/$P$1</f>
        <v>46.146045454545451</v>
      </c>
    </row>
    <row r="51" spans="1:16" s="127" customFormat="1" ht="15" customHeight="1" x14ac:dyDescent="0.3">
      <c r="A51" s="128" t="s">
        <v>30</v>
      </c>
      <c r="B51" s="129" t="s">
        <v>269</v>
      </c>
      <c r="C51" s="130" t="s">
        <v>125</v>
      </c>
      <c r="D51" s="146" t="str">
        <f>_xlfn.XLOOKUP(tb_Custo[[#This Row],[NOME COMPLETO]],Tb_EFETIVO[NOME COMPLETO],Tb_EFETIVO[SITUAÇÃO],"",0,1)</f>
        <v>ATIVO</v>
      </c>
      <c r="E51" s="131" t="s">
        <v>9</v>
      </c>
      <c r="F51" s="132">
        <v>45992</v>
      </c>
      <c r="G51" s="133">
        <f>_xlfn.XLOOKUP(C51,Tb_FUNÇÕES[RESUMO - FUNÇÕES],Tb_FUNÇÕES[SALÁRIO BASE],"",0,1)</f>
        <v>3328.48</v>
      </c>
      <c r="H51" s="133">
        <f>IF(tb_Custo[[#This Row],[TOMADOR]]="UTGC",tb_Custo[[#This Row],[SALÁRIO BASE]]*1.3,tb_Custo[[#This Row],[SALÁRIO BASE]])</f>
        <v>4327.0240000000003</v>
      </c>
      <c r="I51" s="134">
        <v>1100</v>
      </c>
      <c r="J51" s="134">
        <v>700</v>
      </c>
      <c r="K51" s="134">
        <v>492</v>
      </c>
      <c r="L51" s="134">
        <v>11.32</v>
      </c>
      <c r="M51" s="134"/>
      <c r="N51" s="135">
        <f>tb_Custo[[#This Row],[SALÁRIO+PER]]*0.8</f>
        <v>3461.6192000000005</v>
      </c>
      <c r="O51" s="146">
        <f>SUM(tb_Custo[[#This Row],[SALÁRIO+PER]:[ENCARGOS TRABALHISTAS]])</f>
        <v>10091.9632</v>
      </c>
      <c r="P51" s="158">
        <f>tb_Custo[[#This Row],[TOTAL INDIVIDUAL]]/$P$1</f>
        <v>45.87256</v>
      </c>
    </row>
    <row r="52" spans="1:16" s="127" customFormat="1" ht="15" customHeight="1" x14ac:dyDescent="0.3">
      <c r="A52" s="128" t="s">
        <v>30</v>
      </c>
      <c r="B52" s="129" t="s">
        <v>50</v>
      </c>
      <c r="C52" s="130" t="s">
        <v>125</v>
      </c>
      <c r="D52" s="146" t="str">
        <f>_xlfn.XLOOKUP(tb_Custo[[#This Row],[NOME COMPLETO]],Tb_EFETIVO[NOME COMPLETO],Tb_EFETIVO[SITUAÇÃO],"",0,1)</f>
        <v>ATIVO</v>
      </c>
      <c r="E52" s="131" t="s">
        <v>9</v>
      </c>
      <c r="F52" s="132">
        <v>45931</v>
      </c>
      <c r="G52" s="133">
        <f>_xlfn.XLOOKUP(C52,Tb_FUNÇÕES[RESUMO - FUNÇÕES],Tb_FUNÇÕES[SALÁRIO BASE],"",0,1)</f>
        <v>3328.48</v>
      </c>
      <c r="H52" s="133">
        <f>IF(tb_Custo[[#This Row],[TOMADOR]]="UTGC",tb_Custo[[#This Row],[SALÁRIO BASE]]*1.3,tb_Custo[[#This Row],[SALÁRIO BASE]])</f>
        <v>4327.0240000000003</v>
      </c>
      <c r="I52" s="134">
        <v>1100</v>
      </c>
      <c r="J52" s="134">
        <v>700</v>
      </c>
      <c r="K52" s="134">
        <v>246</v>
      </c>
      <c r="L52" s="134">
        <v>11.32</v>
      </c>
      <c r="M52" s="134"/>
      <c r="N52" s="135">
        <f>tb_Custo[[#This Row],[SALÁRIO+PER]]*0.8</f>
        <v>3461.6192000000005</v>
      </c>
      <c r="O52" s="146">
        <f>SUM(tb_Custo[[#This Row],[SALÁRIO+PER]:[ENCARGOS TRABALHISTAS]])</f>
        <v>9845.9632000000001</v>
      </c>
      <c r="P52" s="158">
        <f>tb_Custo[[#This Row],[TOTAL INDIVIDUAL]]/$P$1</f>
        <v>44.754378181818183</v>
      </c>
    </row>
    <row r="53" spans="1:16" s="127" customFormat="1" ht="15" customHeight="1" x14ac:dyDescent="0.3">
      <c r="A53" s="128" t="s">
        <v>30</v>
      </c>
      <c r="B53" s="129" t="s">
        <v>134</v>
      </c>
      <c r="C53" s="130" t="s">
        <v>135</v>
      </c>
      <c r="D53" s="146" t="str">
        <f>_xlfn.XLOOKUP(tb_Custo[[#This Row],[NOME COMPLETO]],Tb_EFETIVO[NOME COMPLETO],Tb_EFETIVO[SITUAÇÃO],"",0,1)</f>
        <v>ATIVO</v>
      </c>
      <c r="E53" s="131" t="s">
        <v>9</v>
      </c>
      <c r="F53" s="132">
        <v>45943</v>
      </c>
      <c r="G53" s="133">
        <f>_xlfn.XLOOKUP(C53,Tb_FUNÇÕES[RESUMO - FUNÇÕES],Tb_FUNÇÕES[SALÁRIO BASE],"",0,1)</f>
        <v>3328.48</v>
      </c>
      <c r="H53" s="133">
        <f>IF(tb_Custo[[#This Row],[TOMADOR]]="UTGC",tb_Custo[[#This Row],[SALÁRIO BASE]]*1.3,tb_Custo[[#This Row],[SALÁRIO BASE]])</f>
        <v>4327.0240000000003</v>
      </c>
      <c r="I53" s="134">
        <v>1100</v>
      </c>
      <c r="J53" s="134">
        <v>700</v>
      </c>
      <c r="K53" s="134">
        <v>738</v>
      </c>
      <c r="L53" s="134">
        <v>11.32</v>
      </c>
      <c r="M53" s="134"/>
      <c r="N53" s="135">
        <f>tb_Custo[[#This Row],[SALÁRIO+PER]]*0.8</f>
        <v>3461.6192000000005</v>
      </c>
      <c r="O53" s="146">
        <f>SUM(tb_Custo[[#This Row],[SALÁRIO+PER]:[ENCARGOS TRABALHISTAS]])</f>
        <v>10337.9632</v>
      </c>
      <c r="P53" s="158">
        <f>tb_Custo[[#This Row],[TOTAL INDIVIDUAL]]/$P$1</f>
        <v>46.990741818181817</v>
      </c>
    </row>
    <row r="54" spans="1:16" s="127" customFormat="1" ht="15" customHeight="1" x14ac:dyDescent="0.3">
      <c r="A54" s="128" t="s">
        <v>30</v>
      </c>
      <c r="B54" s="129" t="s">
        <v>144</v>
      </c>
      <c r="C54" s="130" t="s">
        <v>135</v>
      </c>
      <c r="D54" s="146" t="str">
        <f>_xlfn.XLOOKUP(tb_Custo[[#This Row],[NOME COMPLETO]],Tb_EFETIVO[NOME COMPLETO],Tb_EFETIVO[SITUAÇÃO],"",0,1)</f>
        <v>ATIVO</v>
      </c>
      <c r="E54" s="131" t="s">
        <v>9</v>
      </c>
      <c r="F54" s="132">
        <v>45943</v>
      </c>
      <c r="G54" s="133">
        <f>_xlfn.XLOOKUP(C54,Tb_FUNÇÕES[RESUMO - FUNÇÕES],Tb_FUNÇÕES[SALÁRIO BASE],"",0,1)</f>
        <v>3328.48</v>
      </c>
      <c r="H54" s="133">
        <f>IF(tb_Custo[[#This Row],[TOMADOR]]="UTGC",tb_Custo[[#This Row],[SALÁRIO BASE]]*1.3,tb_Custo[[#This Row],[SALÁRIO BASE]])</f>
        <v>4327.0240000000003</v>
      </c>
      <c r="I54" s="134">
        <v>1100</v>
      </c>
      <c r="J54" s="134">
        <v>700</v>
      </c>
      <c r="K54" s="134">
        <v>492</v>
      </c>
      <c r="L54" s="134">
        <v>11.32</v>
      </c>
      <c r="M54" s="134"/>
      <c r="N54" s="135">
        <f>tb_Custo[[#This Row],[SALÁRIO+PER]]*0.8</f>
        <v>3461.6192000000005</v>
      </c>
      <c r="O54" s="146">
        <f>SUM(tb_Custo[[#This Row],[SALÁRIO+PER]:[ENCARGOS TRABALHISTAS]])</f>
        <v>10091.9632</v>
      </c>
      <c r="P54" s="158">
        <f>tb_Custo[[#This Row],[TOTAL INDIVIDUAL]]/$P$1</f>
        <v>45.87256</v>
      </c>
    </row>
    <row r="55" spans="1:16" s="127" customFormat="1" ht="15" customHeight="1" x14ac:dyDescent="0.3">
      <c r="A55" s="128" t="s">
        <v>30</v>
      </c>
      <c r="B55" s="129" t="s">
        <v>147</v>
      </c>
      <c r="C55" s="130" t="s">
        <v>125</v>
      </c>
      <c r="D55" s="146" t="str">
        <f>_xlfn.XLOOKUP(tb_Custo[[#This Row],[NOME COMPLETO]],Tb_EFETIVO[NOME COMPLETO],Tb_EFETIVO[SITUAÇÃO],"",0,1)</f>
        <v>ATIVO</v>
      </c>
      <c r="E55" s="131" t="s">
        <v>9</v>
      </c>
      <c r="F55" s="132">
        <v>45943</v>
      </c>
      <c r="G55" s="133">
        <f>_xlfn.XLOOKUP(C55,Tb_FUNÇÕES[RESUMO - FUNÇÕES],Tb_FUNÇÕES[SALÁRIO BASE],"",0,1)</f>
        <v>3328.48</v>
      </c>
      <c r="H55" s="133">
        <f>IF(tb_Custo[[#This Row],[TOMADOR]]="UTGC",tb_Custo[[#This Row],[SALÁRIO BASE]]*1.3,tb_Custo[[#This Row],[SALÁRIO BASE]])</f>
        <v>4327.0240000000003</v>
      </c>
      <c r="I55" s="134">
        <v>1100</v>
      </c>
      <c r="J55" s="134">
        <v>700</v>
      </c>
      <c r="K55" s="134">
        <v>1230</v>
      </c>
      <c r="L55" s="134">
        <v>11.32</v>
      </c>
      <c r="M55" s="134"/>
      <c r="N55" s="135">
        <f>tb_Custo[[#This Row],[SALÁRIO+PER]]*0.8</f>
        <v>3461.6192000000005</v>
      </c>
      <c r="O55" s="146">
        <f>SUM(tb_Custo[[#This Row],[SALÁRIO+PER]:[ENCARGOS TRABALHISTAS]])</f>
        <v>10829.9632</v>
      </c>
      <c r="P55" s="158">
        <f>tb_Custo[[#This Row],[TOTAL INDIVIDUAL]]/$P$1</f>
        <v>49.227105454545452</v>
      </c>
    </row>
    <row r="56" spans="1:16" s="127" customFormat="1" ht="15" customHeight="1" x14ac:dyDescent="0.3">
      <c r="A56" s="128" t="s">
        <v>30</v>
      </c>
      <c r="B56" s="129" t="s">
        <v>146</v>
      </c>
      <c r="C56" s="129" t="s">
        <v>125</v>
      </c>
      <c r="D56" s="146" t="str">
        <f>_xlfn.XLOOKUP(tb_Custo[[#This Row],[NOME COMPLETO]],Tb_EFETIVO[NOME COMPLETO],Tb_EFETIVO[SITUAÇÃO],"",0,1)</f>
        <v>ATIVO</v>
      </c>
      <c r="E56" s="131" t="s">
        <v>9</v>
      </c>
      <c r="F56" s="132">
        <v>45943</v>
      </c>
      <c r="G56" s="133">
        <f>_xlfn.XLOOKUP(C56,Tb_FUNÇÕES[RESUMO - FUNÇÕES],Tb_FUNÇÕES[SALÁRIO BASE],"",0,1)</f>
        <v>3328.48</v>
      </c>
      <c r="H56" s="133">
        <f>IF(tb_Custo[[#This Row],[TOMADOR]]="UTGC",tb_Custo[[#This Row],[SALÁRIO BASE]]*1.3,tb_Custo[[#This Row],[SALÁRIO BASE]])</f>
        <v>4327.0240000000003</v>
      </c>
      <c r="I56" s="134">
        <v>1100</v>
      </c>
      <c r="J56" s="134">
        <v>700</v>
      </c>
      <c r="K56" s="134">
        <v>984</v>
      </c>
      <c r="L56" s="134">
        <v>11.32</v>
      </c>
      <c r="M56" s="134"/>
      <c r="N56" s="135">
        <f>tb_Custo[[#This Row],[SALÁRIO+PER]]*0.8</f>
        <v>3461.6192000000005</v>
      </c>
      <c r="O56" s="146">
        <f>SUM(tb_Custo[[#This Row],[SALÁRIO+PER]:[ENCARGOS TRABALHISTAS]])</f>
        <v>10583.9632</v>
      </c>
      <c r="P56" s="158">
        <f>tb_Custo[[#This Row],[TOTAL INDIVIDUAL]]/$P$1</f>
        <v>48.108923636363635</v>
      </c>
    </row>
    <row r="57" spans="1:16" s="127" customFormat="1" ht="15" customHeight="1" x14ac:dyDescent="0.3">
      <c r="A57" s="128" t="s">
        <v>30</v>
      </c>
      <c r="B57" s="129" t="s">
        <v>138</v>
      </c>
      <c r="C57" s="130" t="s">
        <v>126</v>
      </c>
      <c r="D57" s="146" t="str">
        <f>_xlfn.XLOOKUP(tb_Custo[[#This Row],[NOME COMPLETO]],Tb_EFETIVO[NOME COMPLETO],Tb_EFETIVO[SITUAÇÃO],"",0,1)</f>
        <v>ATIVO</v>
      </c>
      <c r="E57" s="131" t="s">
        <v>9</v>
      </c>
      <c r="F57" s="132">
        <v>45943</v>
      </c>
      <c r="G57" s="133">
        <f>_xlfn.XLOOKUP(C57,Tb_FUNÇÕES[RESUMO - FUNÇÕES],Tb_FUNÇÕES[SALÁRIO BASE],"",0,1)</f>
        <v>3218.17</v>
      </c>
      <c r="H57" s="133">
        <f>IF(tb_Custo[[#This Row],[TOMADOR]]="UTGC",tb_Custo[[#This Row],[SALÁRIO BASE]]*1.3,tb_Custo[[#This Row],[SALÁRIO BASE]])</f>
        <v>4183.6210000000001</v>
      </c>
      <c r="I57" s="134">
        <v>1100</v>
      </c>
      <c r="J57" s="134">
        <v>700</v>
      </c>
      <c r="K57" s="134">
        <v>492</v>
      </c>
      <c r="L57" s="134">
        <v>11.32</v>
      </c>
      <c r="M57" s="134"/>
      <c r="N57" s="135">
        <f>tb_Custo[[#This Row],[SALÁRIO+PER]]*0.8</f>
        <v>3346.8968000000004</v>
      </c>
      <c r="O57" s="146">
        <f>SUM(tb_Custo[[#This Row],[SALÁRIO+PER]:[ENCARGOS TRABALHISTAS]])</f>
        <v>9833.8378000000012</v>
      </c>
      <c r="P57" s="158">
        <f>tb_Custo[[#This Row],[TOTAL INDIVIDUAL]]/$P$1</f>
        <v>44.699262727272732</v>
      </c>
    </row>
    <row r="58" spans="1:16" s="127" customFormat="1" ht="15" customHeight="1" x14ac:dyDescent="0.3">
      <c r="A58" s="136" t="s">
        <v>30</v>
      </c>
      <c r="B58" s="137" t="s">
        <v>308</v>
      </c>
      <c r="C58" s="137" t="s">
        <v>126</v>
      </c>
      <c r="D58" s="146" t="str">
        <f>_xlfn.XLOOKUP(tb_Custo[[#This Row],[NOME COMPLETO]],Tb_EFETIVO[NOME COMPLETO],Tb_EFETIVO[SITUAÇÃO],"",0,1)</f>
        <v>ATIVO</v>
      </c>
      <c r="E58" s="131" t="s">
        <v>9</v>
      </c>
      <c r="F58" s="132">
        <v>46062</v>
      </c>
      <c r="G58" s="133">
        <f>_xlfn.XLOOKUP(C58,Tb_FUNÇÕES[RESUMO - FUNÇÕES],Tb_FUNÇÕES[SALÁRIO BASE],"",0,1)</f>
        <v>3218.17</v>
      </c>
      <c r="H58" s="133">
        <f>IF(tb_Custo[[#This Row],[TOMADOR]]="UTGC",tb_Custo[[#This Row],[SALÁRIO BASE]]*1.3,tb_Custo[[#This Row],[SALÁRIO BASE]])</f>
        <v>4183.6210000000001</v>
      </c>
      <c r="I58" s="134">
        <v>1100</v>
      </c>
      <c r="J58" s="134">
        <v>700</v>
      </c>
      <c r="K58" s="134">
        <v>246</v>
      </c>
      <c r="L58" s="134">
        <v>11.32</v>
      </c>
      <c r="M58" s="134"/>
      <c r="N58" s="135">
        <f>tb_Custo[[#This Row],[SALÁRIO+PER]]*0.8</f>
        <v>3346.8968000000004</v>
      </c>
      <c r="O58" s="146">
        <f>SUM(tb_Custo[[#This Row],[SALÁRIO+PER]:[ENCARGOS TRABALHISTAS]])</f>
        <v>9587.8378000000012</v>
      </c>
      <c r="P58" s="158">
        <f>tb_Custo[[#This Row],[TOTAL INDIVIDUAL]]/$P$1</f>
        <v>43.581080909090915</v>
      </c>
    </row>
    <row r="59" spans="1:16" s="127" customFormat="1" x14ac:dyDescent="0.3">
      <c r="A59" s="128" t="s">
        <v>30</v>
      </c>
      <c r="B59" s="129" t="s">
        <v>202</v>
      </c>
      <c r="C59" s="130" t="s">
        <v>126</v>
      </c>
      <c r="D59" s="146" t="str">
        <f>_xlfn.XLOOKUP(tb_Custo[[#This Row],[NOME COMPLETO]],Tb_EFETIVO[NOME COMPLETO],Tb_EFETIVO[SITUAÇÃO],"",0,1)</f>
        <v>ATIVO</v>
      </c>
      <c r="E59" s="131" t="s">
        <v>9</v>
      </c>
      <c r="F59" s="132">
        <v>45967</v>
      </c>
      <c r="G59" s="133">
        <f>_xlfn.XLOOKUP(C59,Tb_FUNÇÕES[RESUMO - FUNÇÕES],Tb_FUNÇÕES[SALÁRIO BASE],"",0,1)</f>
        <v>3218.17</v>
      </c>
      <c r="H59" s="133">
        <f>IF(tb_Custo[[#This Row],[TOMADOR]]="UTGC",tb_Custo[[#This Row],[SALÁRIO BASE]]*1.3,tb_Custo[[#This Row],[SALÁRIO BASE]])</f>
        <v>4183.6210000000001</v>
      </c>
      <c r="I59" s="134">
        <v>1100</v>
      </c>
      <c r="J59" s="134">
        <v>700</v>
      </c>
      <c r="K59" s="134">
        <v>738</v>
      </c>
      <c r="L59" s="134">
        <v>11.32</v>
      </c>
      <c r="M59" s="134"/>
      <c r="N59" s="135">
        <f>tb_Custo[[#This Row],[SALÁRIO+PER]]*0.8</f>
        <v>3346.8968000000004</v>
      </c>
      <c r="O59" s="146">
        <f>SUM(tb_Custo[[#This Row],[SALÁRIO+PER]:[ENCARGOS TRABALHISTAS]])</f>
        <v>10079.837800000001</v>
      </c>
      <c r="P59" s="158">
        <f>tb_Custo[[#This Row],[TOTAL INDIVIDUAL]]/$P$1</f>
        <v>45.817444545454549</v>
      </c>
    </row>
    <row r="60" spans="1:16" s="127" customFormat="1" ht="15" customHeight="1" x14ac:dyDescent="0.3">
      <c r="A60" s="128" t="s">
        <v>30</v>
      </c>
      <c r="B60" s="129" t="s">
        <v>203</v>
      </c>
      <c r="C60" s="130" t="s">
        <v>126</v>
      </c>
      <c r="D60" s="146" t="str">
        <f>_xlfn.XLOOKUP(tb_Custo[[#This Row],[NOME COMPLETO]],Tb_EFETIVO[NOME COMPLETO],Tb_EFETIVO[SITUAÇÃO],"",0,1)</f>
        <v>ATIVO</v>
      </c>
      <c r="E60" s="131" t="s">
        <v>9</v>
      </c>
      <c r="F60" s="132">
        <v>45967</v>
      </c>
      <c r="G60" s="133">
        <f>_xlfn.XLOOKUP(C60,Tb_FUNÇÕES[RESUMO - FUNÇÕES],Tb_FUNÇÕES[SALÁRIO BASE],"",0,1)</f>
        <v>3218.17</v>
      </c>
      <c r="H60" s="133">
        <f>IF(tb_Custo[[#This Row],[TOMADOR]]="UTGC",tb_Custo[[#This Row],[SALÁRIO BASE]]*1.3,tb_Custo[[#This Row],[SALÁRIO BASE]])</f>
        <v>4183.6210000000001</v>
      </c>
      <c r="I60" s="134">
        <v>1100</v>
      </c>
      <c r="J60" s="134">
        <v>700</v>
      </c>
      <c r="K60" s="134">
        <v>984</v>
      </c>
      <c r="L60" s="134">
        <v>11.32</v>
      </c>
      <c r="M60" s="134"/>
      <c r="N60" s="135">
        <f>tb_Custo[[#This Row],[SALÁRIO+PER]]*0.8</f>
        <v>3346.8968000000004</v>
      </c>
      <c r="O60" s="146">
        <f>SUM(tb_Custo[[#This Row],[SALÁRIO+PER]:[ENCARGOS TRABALHISTAS]])</f>
        <v>10325.837800000001</v>
      </c>
      <c r="P60" s="158">
        <f>tb_Custo[[#This Row],[TOTAL INDIVIDUAL]]/$P$1</f>
        <v>46.935626363636366</v>
      </c>
    </row>
    <row r="61" spans="1:16" s="127" customFormat="1" ht="15" hidden="1" customHeight="1" x14ac:dyDescent="0.3">
      <c r="A61" s="128" t="s">
        <v>30</v>
      </c>
      <c r="B61" s="129" t="s">
        <v>174</v>
      </c>
      <c r="C61" s="130" t="s">
        <v>74</v>
      </c>
      <c r="D61" s="146" t="str">
        <f>_xlfn.XLOOKUP(tb_Custo[[#This Row],[NOME COMPLETO]],Tb_EFETIVO[NOME COMPLETO],Tb_EFETIVO[SITUAÇÃO],"",0,1)</f>
        <v>ATIVO</v>
      </c>
      <c r="E61" s="131" t="s">
        <v>8</v>
      </c>
      <c r="F61" s="132">
        <v>45950</v>
      </c>
      <c r="G61" s="133">
        <f>_xlfn.XLOOKUP(C61,Tb_FUNÇÕES[RESUMO - FUNÇÕES],Tb_FUNÇÕES[SALÁRIO BASE],"",0,1)</f>
        <v>3000</v>
      </c>
      <c r="H61" s="133">
        <f>IF(tb_Custo[[#This Row],[TOMADOR]]="UTGC",tb_Custo[[#This Row],[SALÁRIO BASE]]*1.3,tb_Custo[[#This Row],[SALÁRIO BASE]])</f>
        <v>3900</v>
      </c>
      <c r="I61" s="134">
        <v>1100</v>
      </c>
      <c r="J61" s="134">
        <v>700</v>
      </c>
      <c r="K61" s="134">
        <v>492</v>
      </c>
      <c r="L61" s="134">
        <v>11.32</v>
      </c>
      <c r="M61" s="134"/>
      <c r="N61" s="135">
        <f>tb_Custo[[#This Row],[SALÁRIO+PER]]*0.8</f>
        <v>3120</v>
      </c>
      <c r="O61" s="146">
        <f>SUM(tb_Custo[[#This Row],[SALÁRIO+PER]:[ENCARGOS TRABALHISTAS]])</f>
        <v>9323.32</v>
      </c>
      <c r="P61" s="158">
        <f>tb_Custo[[#This Row],[TOTAL INDIVIDUAL]]/$P$1</f>
        <v>42.378727272727268</v>
      </c>
    </row>
    <row r="62" spans="1:16" s="127" customFormat="1" ht="15" hidden="1" customHeight="1" x14ac:dyDescent="0.3">
      <c r="A62" s="128" t="s">
        <v>31</v>
      </c>
      <c r="B62" s="129" t="s">
        <v>36</v>
      </c>
      <c r="C62" s="130" t="s">
        <v>5</v>
      </c>
      <c r="D62" s="146" t="str">
        <f>_xlfn.XLOOKUP(tb_Custo[[#This Row],[NOME COMPLETO]],Tb_EFETIVO[NOME COMPLETO],Tb_EFETIVO[SITUAÇÃO],"",0,1)</f>
        <v>ATIVO</v>
      </c>
      <c r="E62" s="131" t="s">
        <v>8</v>
      </c>
      <c r="F62" s="132">
        <v>45910</v>
      </c>
      <c r="G62" s="133">
        <f>_xlfn.XLOOKUP(C62,Tb_FUNÇÕES[RESUMO - FUNÇÕES],Tb_FUNÇÕES[SALÁRIO BASE],"",0,1)</f>
        <v>3800</v>
      </c>
      <c r="H62" s="133">
        <f>IF(tb_Custo[[#This Row],[TOMADOR]]="UTGC",tb_Custo[[#This Row],[SALÁRIO BASE]]*1.3,tb_Custo[[#This Row],[SALÁRIO BASE]])</f>
        <v>3800</v>
      </c>
      <c r="I62" s="134">
        <v>1254</v>
      </c>
      <c r="J62" s="134">
        <v>0</v>
      </c>
      <c r="K62" s="134">
        <v>246</v>
      </c>
      <c r="L62" s="134">
        <v>11.32</v>
      </c>
      <c r="M62" s="134"/>
      <c r="N62" s="135">
        <f>tb_Custo[[#This Row],[SALÁRIO+PER]]*0.8</f>
        <v>3040</v>
      </c>
      <c r="O62" s="146">
        <f>SUM(tb_Custo[[#This Row],[SALÁRIO+PER]:[ENCARGOS TRABALHISTAS]])</f>
        <v>8351.32</v>
      </c>
      <c r="P62" s="158">
        <f>tb_Custo[[#This Row],[TOTAL INDIVIDUAL]]/$P$1</f>
        <v>37.960545454545453</v>
      </c>
    </row>
    <row r="63" spans="1:16" s="127" customFormat="1" ht="15" hidden="1" customHeight="1" x14ac:dyDescent="0.3">
      <c r="A63" s="128" t="s">
        <v>31</v>
      </c>
      <c r="B63" s="129" t="s">
        <v>272</v>
      </c>
      <c r="C63" s="130" t="s">
        <v>125</v>
      </c>
      <c r="D63" s="146" t="str">
        <f>_xlfn.XLOOKUP(tb_Custo[[#This Row],[NOME COMPLETO]],Tb_EFETIVO[NOME COMPLETO],Tb_EFETIVO[SITUAÇÃO],"",0,1)</f>
        <v>ATIVO</v>
      </c>
      <c r="E63" s="131" t="s">
        <v>9</v>
      </c>
      <c r="F63" s="132">
        <v>45992</v>
      </c>
      <c r="G63" s="133">
        <f>_xlfn.XLOOKUP(C63,Tb_FUNÇÕES[RESUMO - FUNÇÕES],Tb_FUNÇÕES[SALÁRIO BASE],"",0,1)</f>
        <v>3328.48</v>
      </c>
      <c r="H63" s="133">
        <f>IF(tb_Custo[[#This Row],[TOMADOR]]="UTGC",tb_Custo[[#This Row],[SALÁRIO BASE]]*1.3,tb_Custo[[#This Row],[SALÁRIO BASE]])</f>
        <v>3328.48</v>
      </c>
      <c r="I63" s="134">
        <v>1254</v>
      </c>
      <c r="J63" s="134">
        <v>224.4</v>
      </c>
      <c r="K63" s="134">
        <v>246</v>
      </c>
      <c r="L63" s="134">
        <v>11.32</v>
      </c>
      <c r="M63" s="134"/>
      <c r="N63" s="135">
        <f>tb_Custo[[#This Row],[SALÁRIO+PER]]*0.8</f>
        <v>2662.7840000000001</v>
      </c>
      <c r="O63" s="146">
        <f>SUM(tb_Custo[[#This Row],[SALÁRIO+PER]:[ENCARGOS TRABALHISTAS]])</f>
        <v>7726.9839999999986</v>
      </c>
      <c r="P63" s="158">
        <f>tb_Custo[[#This Row],[TOTAL INDIVIDUAL]]/$P$1</f>
        <v>35.122654545454537</v>
      </c>
    </row>
    <row r="64" spans="1:16" s="127" customFormat="1" ht="15" hidden="1" customHeight="1" x14ac:dyDescent="0.3">
      <c r="A64" s="128" t="s">
        <v>31</v>
      </c>
      <c r="B64" s="129" t="s">
        <v>62</v>
      </c>
      <c r="C64" s="130" t="s">
        <v>125</v>
      </c>
      <c r="D64" s="146" t="str">
        <f>_xlfn.XLOOKUP(tb_Custo[[#This Row],[NOME COMPLETO]],Tb_EFETIVO[NOME COMPLETO],Tb_EFETIVO[SITUAÇÃO],"",0,1)</f>
        <v>ATIVO</v>
      </c>
      <c r="E64" s="131" t="s">
        <v>9</v>
      </c>
      <c r="F64" s="132">
        <v>45938</v>
      </c>
      <c r="G64" s="133">
        <f>_xlfn.XLOOKUP(C64,Tb_FUNÇÕES[RESUMO - FUNÇÕES],Tb_FUNÇÕES[SALÁRIO BASE],"",0,1)</f>
        <v>3328.48</v>
      </c>
      <c r="H64" s="133">
        <f>IF(tb_Custo[[#This Row],[TOMADOR]]="UTGC",tb_Custo[[#This Row],[SALÁRIO BASE]]*1.3,tb_Custo[[#This Row],[SALÁRIO BASE]])</f>
        <v>3328.48</v>
      </c>
      <c r="I64" s="134">
        <v>1123.02</v>
      </c>
      <c r="J64" s="134">
        <v>224.4</v>
      </c>
      <c r="K64" s="134">
        <v>246</v>
      </c>
      <c r="L64" s="134">
        <v>11.32</v>
      </c>
      <c r="M64" s="134"/>
      <c r="N64" s="135">
        <f>tb_Custo[[#This Row],[SALÁRIO+PER]]*0.8</f>
        <v>2662.7840000000001</v>
      </c>
      <c r="O64" s="146">
        <f>SUM(tb_Custo[[#This Row],[SALÁRIO+PER]:[ENCARGOS TRABALHISTAS]])</f>
        <v>7596.003999999999</v>
      </c>
      <c r="P64" s="158">
        <f>tb_Custo[[#This Row],[TOTAL INDIVIDUAL]]/$P$1</f>
        <v>34.527290909090901</v>
      </c>
    </row>
    <row r="65" spans="1:16" s="127" customFormat="1" ht="15" hidden="1" customHeight="1" x14ac:dyDescent="0.3">
      <c r="A65" s="128" t="s">
        <v>31</v>
      </c>
      <c r="B65" s="129" t="s">
        <v>64</v>
      </c>
      <c r="C65" s="130" t="s">
        <v>126</v>
      </c>
      <c r="D65" s="146" t="str">
        <f>_xlfn.XLOOKUP(tb_Custo[[#This Row],[NOME COMPLETO]],Tb_EFETIVO[NOME COMPLETO],Tb_EFETIVO[SITUAÇÃO],"",0,1)</f>
        <v>ATIVO</v>
      </c>
      <c r="E65" s="131" t="s">
        <v>9</v>
      </c>
      <c r="F65" s="132">
        <v>45938</v>
      </c>
      <c r="G65" s="133">
        <f>_xlfn.XLOOKUP(C65,Tb_FUNÇÕES[RESUMO - FUNÇÕES],Tb_FUNÇÕES[SALÁRIO BASE],"",0,1)</f>
        <v>3218.17</v>
      </c>
      <c r="H65" s="133">
        <f>IF(tb_Custo[[#This Row],[TOMADOR]]="UTGC",tb_Custo[[#This Row],[SALÁRIO BASE]]*1.3,tb_Custo[[#This Row],[SALÁRIO BASE]])</f>
        <v>3218.17</v>
      </c>
      <c r="I65" s="134">
        <v>1254</v>
      </c>
      <c r="J65" s="134">
        <v>224.4</v>
      </c>
      <c r="K65" s="134">
        <v>492</v>
      </c>
      <c r="L65" s="134">
        <v>11.32</v>
      </c>
      <c r="M65" s="134"/>
      <c r="N65" s="135">
        <f>tb_Custo[[#This Row],[SALÁRIO+PER]]*0.8</f>
        <v>2574.5360000000001</v>
      </c>
      <c r="O65" s="146">
        <f>SUM(tb_Custo[[#This Row],[SALÁRIO+PER]:[ENCARGOS TRABALHISTAS]])</f>
        <v>7774.4259999999995</v>
      </c>
      <c r="P65" s="158">
        <f>tb_Custo[[#This Row],[TOTAL INDIVIDUAL]]/$P$1</f>
        <v>35.338299999999997</v>
      </c>
    </row>
    <row r="66" spans="1:16" s="127" customFormat="1" ht="15" hidden="1" customHeight="1" x14ac:dyDescent="0.3">
      <c r="A66" s="128" t="s">
        <v>31</v>
      </c>
      <c r="B66" s="129" t="s">
        <v>34</v>
      </c>
      <c r="C66" s="130" t="s">
        <v>74</v>
      </c>
      <c r="D66" s="146" t="str">
        <f>_xlfn.XLOOKUP(tb_Custo[[#This Row],[NOME COMPLETO]],Tb_EFETIVO[NOME COMPLETO],Tb_EFETIVO[SITUAÇÃO],"",0,1)</f>
        <v>ATIVO</v>
      </c>
      <c r="E66" s="131" t="s">
        <v>8</v>
      </c>
      <c r="F66" s="132">
        <v>45917</v>
      </c>
      <c r="G66" s="133">
        <f>_xlfn.XLOOKUP(C66,Tb_FUNÇÕES[RESUMO - FUNÇÕES],Tb_FUNÇÕES[SALÁRIO BASE],"",0,1)</f>
        <v>3000</v>
      </c>
      <c r="H66" s="133">
        <f>IF(tb_Custo[[#This Row],[TOMADOR]]="UTGC",tb_Custo[[#This Row],[SALÁRIO BASE]]*1.3,tb_Custo[[#This Row],[SALÁRIO BASE]])</f>
        <v>3000</v>
      </c>
      <c r="I66" s="134">
        <v>1254</v>
      </c>
      <c r="J66" s="134">
        <v>224.4</v>
      </c>
      <c r="K66" s="134">
        <v>738</v>
      </c>
      <c r="L66" s="134">
        <v>11.32</v>
      </c>
      <c r="M66" s="134"/>
      <c r="N66" s="135">
        <f>tb_Custo[[#This Row],[SALÁRIO+PER]]*0.8</f>
        <v>2400</v>
      </c>
      <c r="O66" s="146">
        <f>SUM(tb_Custo[[#This Row],[SALÁRIO+PER]:[ENCARGOS TRABALHISTAS]])</f>
        <v>7627.7199999999993</v>
      </c>
      <c r="P66" s="158">
        <f>tb_Custo[[#This Row],[TOTAL INDIVIDUAL]]/$P$1</f>
        <v>34.671454545454544</v>
      </c>
    </row>
    <row r="67" spans="1:16" s="127" customFormat="1" ht="15" customHeight="1" x14ac:dyDescent="0.3">
      <c r="A67" s="128" t="s">
        <v>30</v>
      </c>
      <c r="B67" s="129" t="s">
        <v>137</v>
      </c>
      <c r="C67" s="130" t="s">
        <v>380</v>
      </c>
      <c r="D67" s="146" t="str">
        <f>_xlfn.XLOOKUP(tb_Custo[[#This Row],[NOME COMPLETO]],Tb_EFETIVO[NOME COMPLETO],Tb_EFETIVO[SITUAÇÃO],"",0,1)</f>
        <v>ATIVO</v>
      </c>
      <c r="E67" s="131" t="s">
        <v>9</v>
      </c>
      <c r="F67" s="132">
        <v>45943</v>
      </c>
      <c r="G67" s="133">
        <f>_xlfn.XLOOKUP(C67,Tb_FUNÇÕES[RESUMO - FUNÇÕES],Tb_FUNÇÕES[SALÁRIO BASE],"",0,1)</f>
        <v>1726.63</v>
      </c>
      <c r="H67" s="133">
        <f>IF(tb_Custo[[#This Row],[TOMADOR]]="UTGC",tb_Custo[[#This Row],[SALÁRIO BASE]]*1.3,tb_Custo[[#This Row],[SALÁRIO BASE]])</f>
        <v>2244.6190000000001</v>
      </c>
      <c r="I67" s="134">
        <v>1063.3399999999999</v>
      </c>
      <c r="J67" s="134">
        <v>700</v>
      </c>
      <c r="K67" s="134">
        <v>246</v>
      </c>
      <c r="L67" s="134">
        <v>11.32</v>
      </c>
      <c r="M67" s="134"/>
      <c r="N67" s="135">
        <f>tb_Custo[[#This Row],[SALÁRIO+PER]]*0.8</f>
        <v>1795.6952000000001</v>
      </c>
      <c r="O67" s="146">
        <f>SUM(tb_Custo[[#This Row],[SALÁRIO+PER]:[ENCARGOS TRABALHISTAS]])</f>
        <v>6060.9741999999997</v>
      </c>
      <c r="P67" s="158">
        <f>tb_Custo[[#This Row],[TOTAL INDIVIDUAL]]/$P$1</f>
        <v>27.549882727272724</v>
      </c>
    </row>
    <row r="68" spans="1:16" s="127" customFormat="1" ht="15" customHeight="1" x14ac:dyDescent="0.3">
      <c r="A68" s="128" t="s">
        <v>30</v>
      </c>
      <c r="B68" s="129" t="s">
        <v>199</v>
      </c>
      <c r="C68" s="130" t="s">
        <v>380</v>
      </c>
      <c r="D68" s="146" t="str">
        <f>_xlfn.XLOOKUP(tb_Custo[[#This Row],[NOME COMPLETO]],Tb_EFETIVO[NOME COMPLETO],Tb_EFETIVO[SITUAÇÃO],"",0,1)</f>
        <v>ATIVO</v>
      </c>
      <c r="E68" s="131" t="s">
        <v>9</v>
      </c>
      <c r="F68" s="132">
        <v>45967</v>
      </c>
      <c r="G68" s="133">
        <f>_xlfn.XLOOKUP(C68,Tb_FUNÇÕES[RESUMO - FUNÇÕES],Tb_FUNÇÕES[SALÁRIO BASE],"",0,1)</f>
        <v>1726.63</v>
      </c>
      <c r="H68" s="133">
        <f>IF(tb_Custo[[#This Row],[TOMADOR]]="UTGC",tb_Custo[[#This Row],[SALÁRIO BASE]]*1.3,tb_Custo[[#This Row],[SALÁRIO BASE]])</f>
        <v>2244.6190000000001</v>
      </c>
      <c r="I68" s="134">
        <v>1063.3399999999999</v>
      </c>
      <c r="J68" s="134">
        <v>700</v>
      </c>
      <c r="K68" s="134">
        <v>738</v>
      </c>
      <c r="L68" s="134">
        <v>11.32</v>
      </c>
      <c r="M68" s="134"/>
      <c r="N68" s="135">
        <f>tb_Custo[[#This Row],[SALÁRIO+PER]]*0.8</f>
        <v>1795.6952000000001</v>
      </c>
      <c r="O68" s="146">
        <f>SUM(tb_Custo[[#This Row],[SALÁRIO+PER]:[ENCARGOS TRABALHISTAS]])</f>
        <v>6552.9741999999997</v>
      </c>
      <c r="P68" s="158">
        <f>tb_Custo[[#This Row],[TOTAL INDIVIDUAL]]/$P$1</f>
        <v>29.786246363636362</v>
      </c>
    </row>
    <row r="69" spans="1:16" s="127" customFormat="1" ht="15" customHeight="1" x14ac:dyDescent="0.3">
      <c r="A69" s="128" t="s">
        <v>30</v>
      </c>
      <c r="B69" s="129" t="s">
        <v>140</v>
      </c>
      <c r="C69" s="130" t="s">
        <v>379</v>
      </c>
      <c r="D69" s="146" t="str">
        <f>_xlfn.XLOOKUP(tb_Custo[[#This Row],[NOME COMPLETO]],Tb_EFETIVO[NOME COMPLETO],Tb_EFETIVO[SITUAÇÃO],"",0,1)</f>
        <v>ATIVO</v>
      </c>
      <c r="E69" s="131" t="s">
        <v>9</v>
      </c>
      <c r="F69" s="132">
        <v>45943</v>
      </c>
      <c r="G69" s="133">
        <f>_xlfn.XLOOKUP(C69,Tb_FUNÇÕES[RESUMO - FUNÇÕES],Tb_FUNÇÕES[SALÁRIO BASE],"",0,1)</f>
        <v>1726.63</v>
      </c>
      <c r="H69" s="133">
        <f>IF(tb_Custo[[#This Row],[TOMADOR]]="UTGC",tb_Custo[[#This Row],[SALÁRIO BASE]]*1.3,tb_Custo[[#This Row],[SALÁRIO BASE]])</f>
        <v>2244.6190000000001</v>
      </c>
      <c r="I69" s="134">
        <v>1100</v>
      </c>
      <c r="J69" s="134">
        <v>700</v>
      </c>
      <c r="K69" s="134">
        <v>246</v>
      </c>
      <c r="L69" s="134">
        <v>11.32</v>
      </c>
      <c r="M69" s="134"/>
      <c r="N69" s="135">
        <f>tb_Custo[[#This Row],[SALÁRIO+PER]]*0.8</f>
        <v>1795.6952000000001</v>
      </c>
      <c r="O69" s="146">
        <f>SUM(tb_Custo[[#This Row],[SALÁRIO+PER]:[ENCARGOS TRABALHISTAS]])</f>
        <v>6097.6342000000004</v>
      </c>
      <c r="P69" s="158">
        <f>tb_Custo[[#This Row],[TOTAL INDIVIDUAL]]/$P$1</f>
        <v>27.716519090909092</v>
      </c>
    </row>
    <row r="70" spans="1:16" s="127" customFormat="1" x14ac:dyDescent="0.3">
      <c r="A70" s="136" t="s">
        <v>30</v>
      </c>
      <c r="B70" s="137" t="s">
        <v>310</v>
      </c>
      <c r="C70" s="137" t="s">
        <v>379</v>
      </c>
      <c r="D70" s="146" t="str">
        <f>_xlfn.XLOOKUP(tb_Custo[[#This Row],[NOME COMPLETO]],Tb_EFETIVO[NOME COMPLETO],Tb_EFETIVO[SITUAÇÃO],"",0,1)</f>
        <v>ATIVO</v>
      </c>
      <c r="E70" s="131" t="s">
        <v>9</v>
      </c>
      <c r="F70" s="132">
        <v>46062</v>
      </c>
      <c r="G70" s="133">
        <f>_xlfn.XLOOKUP(C70,Tb_FUNÇÕES[RESUMO - FUNÇÕES],Tb_FUNÇÕES[SALÁRIO BASE],"",0,1)</f>
        <v>1726.63</v>
      </c>
      <c r="H70" s="133">
        <f>IF(tb_Custo[[#This Row],[TOMADOR]]="UTGC",tb_Custo[[#This Row],[SALÁRIO BASE]]*1.3,tb_Custo[[#This Row],[SALÁRIO BASE]])</f>
        <v>2244.6190000000001</v>
      </c>
      <c r="I70" s="134">
        <v>1100</v>
      </c>
      <c r="J70" s="134">
        <v>700</v>
      </c>
      <c r="K70" s="134">
        <v>246</v>
      </c>
      <c r="L70" s="134">
        <v>11.32</v>
      </c>
      <c r="M70" s="134"/>
      <c r="N70" s="135">
        <f>tb_Custo[[#This Row],[SALÁRIO+PER]]*0.8</f>
        <v>1795.6952000000001</v>
      </c>
      <c r="O70" s="146">
        <f>SUM(tb_Custo[[#This Row],[SALÁRIO+PER]:[ENCARGOS TRABALHISTAS]])</f>
        <v>6097.6342000000004</v>
      </c>
      <c r="P70" s="158">
        <f>tb_Custo[[#This Row],[TOTAL INDIVIDUAL]]/$P$1</f>
        <v>27.716519090909092</v>
      </c>
    </row>
    <row r="71" spans="1:16" s="127" customFormat="1" x14ac:dyDescent="0.3">
      <c r="A71" s="128" t="s">
        <v>30</v>
      </c>
      <c r="B71" s="129" t="s">
        <v>295</v>
      </c>
      <c r="C71" s="130" t="s">
        <v>379</v>
      </c>
      <c r="D71" s="146" t="str">
        <f>_xlfn.XLOOKUP(tb_Custo[[#This Row],[NOME COMPLETO]],Tb_EFETIVO[NOME COMPLETO],Tb_EFETIVO[SITUAÇÃO],"",0,1)</f>
        <v>ATIVO</v>
      </c>
      <c r="E71" s="131" t="s">
        <v>9</v>
      </c>
      <c r="F71" s="132">
        <v>46055</v>
      </c>
      <c r="G71" s="133">
        <f>_xlfn.XLOOKUP(C71,Tb_FUNÇÕES[RESUMO - FUNÇÕES],Tb_FUNÇÕES[SALÁRIO BASE],"",0,1)</f>
        <v>1726.63</v>
      </c>
      <c r="H71" s="133">
        <f>IF(tb_Custo[[#This Row],[TOMADOR]]="UTGC",tb_Custo[[#This Row],[SALÁRIO BASE]]*1.3,tb_Custo[[#This Row],[SALÁRIO BASE]])</f>
        <v>2244.6190000000001</v>
      </c>
      <c r="I71" s="134">
        <v>1100</v>
      </c>
      <c r="J71" s="134">
        <v>700</v>
      </c>
      <c r="K71" s="134">
        <v>738</v>
      </c>
      <c r="L71" s="134">
        <v>11.32</v>
      </c>
      <c r="M71" s="134"/>
      <c r="N71" s="135">
        <f>tb_Custo[[#This Row],[SALÁRIO+PER]]*0.8</f>
        <v>1795.6952000000001</v>
      </c>
      <c r="O71" s="146">
        <f>SUM(tb_Custo[[#This Row],[SALÁRIO+PER]:[ENCARGOS TRABALHISTAS]])</f>
        <v>6589.6342000000004</v>
      </c>
      <c r="P71" s="158">
        <f>tb_Custo[[#This Row],[TOTAL INDIVIDUAL]]/$P$1</f>
        <v>29.95288272727273</v>
      </c>
    </row>
    <row r="72" spans="1:16" s="127" customFormat="1" ht="15" customHeight="1" x14ac:dyDescent="0.3">
      <c r="A72" s="128" t="s">
        <v>30</v>
      </c>
      <c r="B72" s="129" t="s">
        <v>321</v>
      </c>
      <c r="C72" s="129" t="s">
        <v>379</v>
      </c>
      <c r="D72" s="146" t="str">
        <f>_xlfn.XLOOKUP(tb_Custo[[#This Row],[NOME COMPLETO]],Tb_EFETIVO[NOME COMPLETO],Tb_EFETIVO[SITUAÇÃO],"",0,1)</f>
        <v>ATIVO</v>
      </c>
      <c r="E72" s="131" t="s">
        <v>9</v>
      </c>
      <c r="F72" s="132">
        <v>46083</v>
      </c>
      <c r="G72" s="133">
        <f>_xlfn.XLOOKUP(C72,Tb_FUNÇÕES[RESUMO - FUNÇÕES],Tb_FUNÇÕES[SALÁRIO BASE],"",0,1)</f>
        <v>1726.63</v>
      </c>
      <c r="H72" s="152">
        <f>IF(tb_Custo[[#This Row],[TOMADOR]]="UTGC",tb_Custo[[#This Row],[SALÁRIO BASE]]*1.3,tb_Custo[[#This Row],[SALÁRIO BASE]])</f>
        <v>2244.6190000000001</v>
      </c>
      <c r="I72" s="134">
        <v>0</v>
      </c>
      <c r="J72" s="134">
        <v>0</v>
      </c>
      <c r="K72" s="134">
        <v>0</v>
      </c>
      <c r="L72" s="134">
        <v>0</v>
      </c>
      <c r="M72" s="134"/>
      <c r="N72" s="135">
        <f>tb_Custo[[#This Row],[SALÁRIO+PER]]*0.8</f>
        <v>1795.6952000000001</v>
      </c>
      <c r="O72" s="146">
        <f>SUM(tb_Custo[[#This Row],[SALÁRIO+PER]:[ENCARGOS TRABALHISTAS]])</f>
        <v>4040.3142000000003</v>
      </c>
      <c r="P72" s="158">
        <f>tb_Custo[[#This Row],[TOTAL INDIVIDUAL]]/$P$1</f>
        <v>18.365064545454548</v>
      </c>
    </row>
    <row r="73" spans="1:16" s="127" customFormat="1" ht="15" customHeight="1" x14ac:dyDescent="0.3">
      <c r="A73" s="128" t="s">
        <v>30</v>
      </c>
      <c r="B73" s="129" t="s">
        <v>55</v>
      </c>
      <c r="C73" s="130" t="s">
        <v>379</v>
      </c>
      <c r="D73" s="146" t="str">
        <f>_xlfn.XLOOKUP(tb_Custo[[#This Row],[NOME COMPLETO]],Tb_EFETIVO[NOME COMPLETO],Tb_EFETIVO[SITUAÇÃO],"",0,1)</f>
        <v>ATIVO</v>
      </c>
      <c r="E73" s="131" t="s">
        <v>9</v>
      </c>
      <c r="F73" s="132">
        <v>45931</v>
      </c>
      <c r="G73" s="133">
        <f>_xlfn.XLOOKUP(C73,Tb_FUNÇÕES[RESUMO - FUNÇÕES],Tb_FUNÇÕES[SALÁRIO BASE],"",0,1)</f>
        <v>1726.63</v>
      </c>
      <c r="H73" s="133">
        <f>IF(tb_Custo[[#This Row],[TOMADOR]]="UTGC",tb_Custo[[#This Row],[SALÁRIO BASE]]*1.3,tb_Custo[[#This Row],[SALÁRIO BASE]])</f>
        <v>2244.6190000000001</v>
      </c>
      <c r="I73" s="134">
        <v>1100</v>
      </c>
      <c r="J73" s="134">
        <v>700</v>
      </c>
      <c r="K73" s="134">
        <v>492</v>
      </c>
      <c r="L73" s="134">
        <v>11.32</v>
      </c>
      <c r="M73" s="134"/>
      <c r="N73" s="135">
        <f>tb_Custo[[#This Row],[SALÁRIO+PER]]*0.8</f>
        <v>1795.6952000000001</v>
      </c>
      <c r="O73" s="146">
        <f>SUM(tb_Custo[[#This Row],[SALÁRIO+PER]:[ENCARGOS TRABALHISTAS]])</f>
        <v>6343.6342000000004</v>
      </c>
      <c r="P73" s="158">
        <f>tb_Custo[[#This Row],[TOTAL INDIVIDUAL]]/$P$1</f>
        <v>28.834700909090913</v>
      </c>
    </row>
    <row r="74" spans="1:16" s="127" customFormat="1" ht="15" customHeight="1" x14ac:dyDescent="0.3">
      <c r="A74" s="128" t="s">
        <v>30</v>
      </c>
      <c r="B74" s="129" t="s">
        <v>133</v>
      </c>
      <c r="C74" s="130" t="s">
        <v>380</v>
      </c>
      <c r="D74" s="146" t="str">
        <f>_xlfn.XLOOKUP(tb_Custo[[#This Row],[NOME COMPLETO]],Tb_EFETIVO[NOME COMPLETO],Tb_EFETIVO[SITUAÇÃO],"",0,1)</f>
        <v>ATIVO</v>
      </c>
      <c r="E74" s="131" t="s">
        <v>9</v>
      </c>
      <c r="F74" s="132">
        <v>45943</v>
      </c>
      <c r="G74" s="133">
        <f>_xlfn.XLOOKUP(C74,Tb_FUNÇÕES[RESUMO - FUNÇÕES],Tb_FUNÇÕES[SALÁRIO BASE],"",0,1)</f>
        <v>1726.63</v>
      </c>
      <c r="H74" s="133">
        <f>IF(tb_Custo[[#This Row],[TOMADOR]]="UTGC",tb_Custo[[#This Row],[SALÁRIO BASE]]*1.3,tb_Custo[[#This Row],[SALÁRIO BASE]])</f>
        <v>2244.6190000000001</v>
      </c>
      <c r="I74" s="134">
        <v>1100</v>
      </c>
      <c r="J74" s="134">
        <v>700</v>
      </c>
      <c r="K74" s="134">
        <v>246</v>
      </c>
      <c r="L74" s="134">
        <v>11.32</v>
      </c>
      <c r="M74" s="134"/>
      <c r="N74" s="135">
        <f>tb_Custo[[#This Row],[SALÁRIO+PER]]*0.8</f>
        <v>1795.6952000000001</v>
      </c>
      <c r="O74" s="146">
        <f>SUM(tb_Custo[[#This Row],[SALÁRIO+PER]:[ENCARGOS TRABALHISTAS]])</f>
        <v>6097.6342000000004</v>
      </c>
      <c r="P74" s="158">
        <f>tb_Custo[[#This Row],[TOTAL INDIVIDUAL]]/$P$1</f>
        <v>27.716519090909092</v>
      </c>
    </row>
    <row r="75" spans="1:16" s="127" customFormat="1" ht="14.25" customHeight="1" x14ac:dyDescent="0.3">
      <c r="A75" s="136" t="s">
        <v>30</v>
      </c>
      <c r="B75" s="137" t="s">
        <v>312</v>
      </c>
      <c r="C75" s="137" t="s">
        <v>380</v>
      </c>
      <c r="D75" s="146" t="str">
        <f>_xlfn.XLOOKUP(tb_Custo[[#This Row],[NOME COMPLETO]],Tb_EFETIVO[NOME COMPLETO],Tb_EFETIVO[SITUAÇÃO],"",0,1)</f>
        <v>ATIVO</v>
      </c>
      <c r="E75" s="131" t="s">
        <v>9</v>
      </c>
      <c r="F75" s="132">
        <v>46062</v>
      </c>
      <c r="G75" s="133">
        <f>_xlfn.XLOOKUP(C75,Tb_FUNÇÕES[RESUMO - FUNÇÕES],Tb_FUNÇÕES[SALÁRIO BASE],"",0,1)</f>
        <v>1726.63</v>
      </c>
      <c r="H75" s="133">
        <f>IF(tb_Custo[[#This Row],[TOMADOR]]="UTGC",tb_Custo[[#This Row],[SALÁRIO BASE]]*1.3,tb_Custo[[#This Row],[SALÁRIO BASE]])</f>
        <v>2244.6190000000001</v>
      </c>
      <c r="I75" s="134">
        <v>1100</v>
      </c>
      <c r="J75" s="134">
        <v>700</v>
      </c>
      <c r="K75" s="134">
        <v>492</v>
      </c>
      <c r="L75" s="134">
        <v>11.32</v>
      </c>
      <c r="M75" s="134"/>
      <c r="N75" s="135">
        <f>tb_Custo[[#This Row],[SALÁRIO+PER]]*0.8</f>
        <v>1795.6952000000001</v>
      </c>
      <c r="O75" s="146">
        <f>SUM(tb_Custo[[#This Row],[SALÁRIO+PER]:[ENCARGOS TRABALHISTAS]])</f>
        <v>6343.6342000000004</v>
      </c>
      <c r="P75" s="158">
        <f>tb_Custo[[#This Row],[TOTAL INDIVIDUAL]]/$P$1</f>
        <v>28.834700909090913</v>
      </c>
    </row>
    <row r="76" spans="1:16" s="127" customFormat="1" x14ac:dyDescent="0.3">
      <c r="A76" s="136" t="s">
        <v>30</v>
      </c>
      <c r="B76" s="137" t="s">
        <v>313</v>
      </c>
      <c r="C76" s="137" t="s">
        <v>379</v>
      </c>
      <c r="D76" s="146" t="str">
        <f>_xlfn.XLOOKUP(tb_Custo[[#This Row],[NOME COMPLETO]],Tb_EFETIVO[NOME COMPLETO],Tb_EFETIVO[SITUAÇÃO],"",0,1)</f>
        <v>ATIVO</v>
      </c>
      <c r="E76" s="131" t="s">
        <v>9</v>
      </c>
      <c r="F76" s="132">
        <v>46062</v>
      </c>
      <c r="G76" s="133">
        <f>_xlfn.XLOOKUP(C76,Tb_FUNÇÕES[RESUMO - FUNÇÕES],Tb_FUNÇÕES[SALÁRIO BASE],"",0,1)</f>
        <v>1726.63</v>
      </c>
      <c r="H76" s="133">
        <f>IF(tb_Custo[[#This Row],[TOMADOR]]="UTGC",tb_Custo[[#This Row],[SALÁRIO BASE]]*1.3,tb_Custo[[#This Row],[SALÁRIO BASE]])</f>
        <v>2244.6190000000001</v>
      </c>
      <c r="I76" s="134">
        <v>1100</v>
      </c>
      <c r="J76" s="134">
        <v>700</v>
      </c>
      <c r="K76" s="134">
        <v>246</v>
      </c>
      <c r="L76" s="134">
        <v>11.32</v>
      </c>
      <c r="M76" s="134"/>
      <c r="N76" s="135">
        <f>tb_Custo[[#This Row],[SALÁRIO+PER]]*0.8</f>
        <v>1795.6952000000001</v>
      </c>
      <c r="O76" s="146">
        <f>SUM(tb_Custo[[#This Row],[SALÁRIO+PER]:[ENCARGOS TRABALHISTAS]])</f>
        <v>6097.6342000000004</v>
      </c>
      <c r="P76" s="158">
        <f>tb_Custo[[#This Row],[TOTAL INDIVIDUAL]]/$P$1</f>
        <v>27.716519090909092</v>
      </c>
    </row>
    <row r="77" spans="1:16" s="127" customFormat="1" x14ac:dyDescent="0.3">
      <c r="A77" s="128" t="s">
        <v>30</v>
      </c>
      <c r="B77" s="129" t="s">
        <v>59</v>
      </c>
      <c r="C77" s="130" t="s">
        <v>379</v>
      </c>
      <c r="D77" s="146" t="str">
        <f>_xlfn.XLOOKUP(tb_Custo[[#This Row],[NOME COMPLETO]],Tb_EFETIVO[NOME COMPLETO],Tb_EFETIVO[SITUAÇÃO],"",0,1)</f>
        <v>ATIVO</v>
      </c>
      <c r="E77" s="131" t="s">
        <v>9</v>
      </c>
      <c r="F77" s="132">
        <v>45931</v>
      </c>
      <c r="G77" s="133">
        <f>_xlfn.XLOOKUP(C77,Tb_FUNÇÕES[RESUMO - FUNÇÕES],Tb_FUNÇÕES[SALÁRIO BASE],"",0,1)</f>
        <v>1726.63</v>
      </c>
      <c r="H77" s="133">
        <f>IF(tb_Custo[[#This Row],[TOMADOR]]="UTGC",tb_Custo[[#This Row],[SALÁRIO BASE]]*1.3,tb_Custo[[#This Row],[SALÁRIO BASE]])</f>
        <v>2244.6190000000001</v>
      </c>
      <c r="I77" s="134">
        <v>1063.3399999999999</v>
      </c>
      <c r="J77" s="134">
        <v>700</v>
      </c>
      <c r="K77" s="134">
        <v>246</v>
      </c>
      <c r="L77" s="134">
        <v>11.32</v>
      </c>
      <c r="M77" s="134"/>
      <c r="N77" s="135">
        <f>tb_Custo[[#This Row],[SALÁRIO+PER]]*0.8</f>
        <v>1795.6952000000001</v>
      </c>
      <c r="O77" s="146">
        <f>SUM(tb_Custo[[#This Row],[SALÁRIO+PER]:[ENCARGOS TRABALHISTAS]])</f>
        <v>6060.9741999999997</v>
      </c>
      <c r="P77" s="158">
        <f>tb_Custo[[#This Row],[TOTAL INDIVIDUAL]]/$P$1</f>
        <v>27.549882727272724</v>
      </c>
    </row>
    <row r="78" spans="1:16" s="127" customFormat="1" x14ac:dyDescent="0.3">
      <c r="A78" s="128" t="s">
        <v>30</v>
      </c>
      <c r="B78" s="129" t="s">
        <v>296</v>
      </c>
      <c r="C78" s="130" t="s">
        <v>379</v>
      </c>
      <c r="D78" s="146" t="str">
        <f>_xlfn.XLOOKUP(tb_Custo[[#This Row],[NOME COMPLETO]],Tb_EFETIVO[NOME COMPLETO],Tb_EFETIVO[SITUAÇÃO],"",0,1)</f>
        <v>ATIVO</v>
      </c>
      <c r="E78" s="131" t="s">
        <v>9</v>
      </c>
      <c r="F78" s="132">
        <v>46055</v>
      </c>
      <c r="G78" s="133">
        <f>_xlfn.XLOOKUP(C78,Tb_FUNÇÕES[RESUMO - FUNÇÕES],Tb_FUNÇÕES[SALÁRIO BASE],"",0,1)</f>
        <v>1726.63</v>
      </c>
      <c r="H78" s="133">
        <f>IF(tb_Custo[[#This Row],[TOMADOR]]="UTGC",tb_Custo[[#This Row],[SALÁRIO BASE]]*1.3,tb_Custo[[#This Row],[SALÁRIO BASE]])</f>
        <v>2244.6190000000001</v>
      </c>
      <c r="I78" s="134">
        <v>1100</v>
      </c>
      <c r="J78" s="134">
        <v>700</v>
      </c>
      <c r="K78" s="134">
        <v>246</v>
      </c>
      <c r="L78" s="134">
        <v>11.32</v>
      </c>
      <c r="M78" s="134"/>
      <c r="N78" s="135">
        <f>tb_Custo[[#This Row],[SALÁRIO+PER]]*0.8</f>
        <v>1795.6952000000001</v>
      </c>
      <c r="O78" s="146">
        <f>SUM(tb_Custo[[#This Row],[SALÁRIO+PER]:[ENCARGOS TRABALHISTAS]])</f>
        <v>6097.6342000000004</v>
      </c>
      <c r="P78" s="158">
        <f>tb_Custo[[#This Row],[TOTAL INDIVIDUAL]]/$P$1</f>
        <v>27.716519090909092</v>
      </c>
    </row>
    <row r="79" spans="1:16" s="127" customFormat="1" hidden="1" x14ac:dyDescent="0.3">
      <c r="A79" s="128" t="s">
        <v>31</v>
      </c>
      <c r="B79" s="129" t="s">
        <v>271</v>
      </c>
      <c r="C79" s="130" t="s">
        <v>124</v>
      </c>
      <c r="D79" s="155" t="str">
        <f>_xlfn.XLOOKUP(tb_Custo[[#This Row],[NOME COMPLETO]],Tb_EFETIVO[NOME COMPLETO],Tb_EFETIVO[SITUAÇÃO],"",0,1)</f>
        <v>INATIVO</v>
      </c>
      <c r="E79" s="131" t="s">
        <v>9</v>
      </c>
      <c r="F79" s="132">
        <v>45992</v>
      </c>
      <c r="G79" s="133">
        <f>_xlfn.XLOOKUP(C79,Tb_FUNÇÕES[RESUMO - FUNÇÕES],Tb_FUNÇÕES[SALÁRIO BASE],"",0,1)</f>
        <v>1726.63</v>
      </c>
      <c r="H79" s="133">
        <f>IF(tb_Custo[[#This Row],[TOMADOR]]="UTGC",tb_Custo[[#This Row],[SALÁRIO BASE]]*1.3,tb_Custo[[#This Row],[SALÁRIO BASE]])</f>
        <v>1726.63</v>
      </c>
      <c r="I79" s="134">
        <v>1210.3399999999999</v>
      </c>
      <c r="J79" s="134">
        <v>224.4</v>
      </c>
      <c r="K79" s="134">
        <v>246</v>
      </c>
      <c r="L79" s="134">
        <v>11.32</v>
      </c>
      <c r="M79" s="134"/>
      <c r="N79" s="135">
        <f>tb_Custo[[#This Row],[SALÁRIO+PER]]*0.8</f>
        <v>1381.3040000000001</v>
      </c>
      <c r="O79" s="153">
        <f>SUM(tb_Custo[[#This Row],[SALÁRIO+PER]:[ENCARGOS TRABALHISTAS]])</f>
        <v>4799.9940000000006</v>
      </c>
      <c r="P79" s="158">
        <f>tb_Custo[[#This Row],[TOTAL INDIVIDUAL]]/$P$1</f>
        <v>21.818154545454547</v>
      </c>
    </row>
    <row r="80" spans="1:16" s="127" customFormat="1" hidden="1" x14ac:dyDescent="0.3">
      <c r="A80" s="128" t="s">
        <v>31</v>
      </c>
      <c r="B80" s="129" t="s">
        <v>171</v>
      </c>
      <c r="C80" s="154" t="s">
        <v>124</v>
      </c>
      <c r="D80" s="155" t="str">
        <f>_xlfn.XLOOKUP(tb_Custo[[#This Row],[NOME COMPLETO]],Tb_EFETIVO[NOME COMPLETO],Tb_EFETIVO[SITUAÇÃO],"",0,1)</f>
        <v>ATIVO</v>
      </c>
      <c r="E80" s="131" t="s">
        <v>9</v>
      </c>
      <c r="F80" s="132">
        <v>45952</v>
      </c>
      <c r="G80" s="133">
        <f>_xlfn.XLOOKUP(C80,Tb_FUNÇÕES[RESUMO - FUNÇÕES],Tb_FUNÇÕES[SALÁRIO BASE],"",0,1)</f>
        <v>1726.63</v>
      </c>
      <c r="H80" s="133">
        <f>IF(tb_Custo[[#This Row],[TOMADOR]]="UTGC",tb_Custo[[#This Row],[SALÁRIO BASE]]*1.3,tb_Custo[[#This Row],[SALÁRIO BASE]])</f>
        <v>1726.63</v>
      </c>
      <c r="I80" s="134">
        <v>1254</v>
      </c>
      <c r="J80" s="134">
        <v>224.4</v>
      </c>
      <c r="K80" s="134">
        <v>492</v>
      </c>
      <c r="L80" s="134">
        <v>11.32</v>
      </c>
      <c r="M80" s="134"/>
      <c r="N80" s="135">
        <f>tb_Custo[[#This Row],[SALÁRIO+PER]]*0.8</f>
        <v>1381.3040000000001</v>
      </c>
      <c r="O80" s="153">
        <f>SUM(tb_Custo[[#This Row],[SALÁRIO+PER]:[ENCARGOS TRABALHISTAS]])</f>
        <v>5089.6540000000005</v>
      </c>
      <c r="P80" s="158">
        <f>tb_Custo[[#This Row],[TOTAL INDIVIDUAL]]/$P$1</f>
        <v>23.13479090909091</v>
      </c>
    </row>
    <row r="81" spans="1:16" s="127" customFormat="1" hidden="1" x14ac:dyDescent="0.3">
      <c r="A81" s="128" t="s">
        <v>31</v>
      </c>
      <c r="B81" s="129" t="s">
        <v>270</v>
      </c>
      <c r="C81" s="154" t="s">
        <v>124</v>
      </c>
      <c r="D81" s="155" t="str">
        <f>_xlfn.XLOOKUP(tb_Custo[[#This Row],[NOME COMPLETO]],Tb_EFETIVO[NOME COMPLETO],Tb_EFETIVO[SITUAÇÃO],"",0,1)</f>
        <v>ATIVO</v>
      </c>
      <c r="E81" s="131" t="s">
        <v>9</v>
      </c>
      <c r="F81" s="132">
        <v>45992</v>
      </c>
      <c r="G81" s="133">
        <f>_xlfn.XLOOKUP(C81,Tb_FUNÇÕES[RESUMO - FUNÇÕES],Tb_FUNÇÕES[SALÁRIO BASE],"",0,1)</f>
        <v>1726.63</v>
      </c>
      <c r="H81" s="133">
        <f>IF(tb_Custo[[#This Row],[TOMADOR]]="UTGC",tb_Custo[[#This Row],[SALÁRIO BASE]]*1.3,tb_Custo[[#This Row],[SALÁRIO BASE]])</f>
        <v>1726.63</v>
      </c>
      <c r="I81" s="134">
        <v>1254</v>
      </c>
      <c r="J81" s="134">
        <v>224.4</v>
      </c>
      <c r="K81" s="134">
        <v>738</v>
      </c>
      <c r="L81" s="134">
        <v>11.32</v>
      </c>
      <c r="M81" s="134"/>
      <c r="N81" s="135">
        <f>tb_Custo[[#This Row],[SALÁRIO+PER]]*0.8</f>
        <v>1381.3040000000001</v>
      </c>
      <c r="O81" s="153">
        <f>SUM(tb_Custo[[#This Row],[SALÁRIO+PER]:[ENCARGOS TRABALHISTAS]])</f>
        <v>5335.6540000000005</v>
      </c>
      <c r="P81" s="158">
        <f>tb_Custo[[#This Row],[TOTAL INDIVIDUAL]]/$P$1</f>
        <v>24.252972727272731</v>
      </c>
    </row>
    <row r="82" spans="1:16" s="127" customFormat="1" hidden="1" x14ac:dyDescent="0.3">
      <c r="A82" s="128" t="s">
        <v>31</v>
      </c>
      <c r="B82" s="129" t="s">
        <v>166</v>
      </c>
      <c r="C82" s="154" t="s">
        <v>124</v>
      </c>
      <c r="D82" s="155" t="str">
        <f>_xlfn.XLOOKUP(tb_Custo[[#This Row],[NOME COMPLETO]],Tb_EFETIVO[NOME COMPLETO],Tb_EFETIVO[SITUAÇÃO],"",0,1)</f>
        <v>ATIVO</v>
      </c>
      <c r="E82" s="131" t="s">
        <v>9</v>
      </c>
      <c r="F82" s="132">
        <v>45952</v>
      </c>
      <c r="G82" s="133">
        <f>_xlfn.XLOOKUP(C82,Tb_FUNÇÕES[RESUMO - FUNÇÕES],Tb_FUNÇÕES[SALÁRIO BASE],"",0,1)</f>
        <v>1726.63</v>
      </c>
      <c r="H82" s="133">
        <f>IF(tb_Custo[[#This Row],[TOMADOR]]="UTGC",tb_Custo[[#This Row],[SALÁRIO BASE]]*1.3,tb_Custo[[#This Row],[SALÁRIO BASE]])</f>
        <v>1726.63</v>
      </c>
      <c r="I82" s="134">
        <v>1210.3399999999999</v>
      </c>
      <c r="J82" s="134">
        <v>224.4</v>
      </c>
      <c r="K82" s="134">
        <v>246</v>
      </c>
      <c r="L82" s="134">
        <v>11.32</v>
      </c>
      <c r="M82" s="134"/>
      <c r="N82" s="135">
        <f>tb_Custo[[#This Row],[SALÁRIO+PER]]*0.8</f>
        <v>1381.3040000000001</v>
      </c>
      <c r="O82" s="153">
        <f>SUM(tb_Custo[[#This Row],[SALÁRIO+PER]:[ENCARGOS TRABALHISTAS]])</f>
        <v>4799.9940000000006</v>
      </c>
      <c r="P82" s="158">
        <f>tb_Custo[[#This Row],[TOTAL INDIVIDUAL]]/$P$1</f>
        <v>21.818154545454547</v>
      </c>
    </row>
    <row r="83" spans="1:16" s="127" customFormat="1" hidden="1" x14ac:dyDescent="0.3">
      <c r="A83" s="128" t="s">
        <v>31</v>
      </c>
      <c r="B83" s="129" t="s">
        <v>65</v>
      </c>
      <c r="C83" s="154" t="s">
        <v>124</v>
      </c>
      <c r="D83" s="155" t="str">
        <f>_xlfn.XLOOKUP(tb_Custo[[#This Row],[NOME COMPLETO]],Tb_EFETIVO[NOME COMPLETO],Tb_EFETIVO[SITUAÇÃO],"",0,1)</f>
        <v>ATIVO</v>
      </c>
      <c r="E83" s="131" t="s">
        <v>9</v>
      </c>
      <c r="F83" s="132">
        <v>45938</v>
      </c>
      <c r="G83" s="133">
        <f>_xlfn.XLOOKUP(C83,Tb_FUNÇÕES[RESUMO - FUNÇÕES],Tb_FUNÇÕES[SALÁRIO BASE],"",0,1)</f>
        <v>1726.63</v>
      </c>
      <c r="H83" s="133">
        <f>IF(tb_Custo[[#This Row],[TOMADOR]]="UTGC",tb_Custo[[#This Row],[SALÁRIO BASE]]*1.3,tb_Custo[[#This Row],[SALÁRIO BASE]])</f>
        <v>1726.63</v>
      </c>
      <c r="I83" s="134">
        <v>1254</v>
      </c>
      <c r="J83" s="134">
        <v>0</v>
      </c>
      <c r="K83" s="134">
        <v>492</v>
      </c>
      <c r="L83" s="134">
        <v>11.32</v>
      </c>
      <c r="M83" s="134"/>
      <c r="N83" s="135">
        <f>tb_Custo[[#This Row],[SALÁRIO+PER]]*0.8</f>
        <v>1381.3040000000001</v>
      </c>
      <c r="O83" s="153">
        <f>SUM(tb_Custo[[#This Row],[SALÁRIO+PER]:[ENCARGOS TRABALHISTAS]])</f>
        <v>4865.2540000000008</v>
      </c>
      <c r="P83" s="158">
        <f>tb_Custo[[#This Row],[TOTAL INDIVIDUAL]]/$P$1</f>
        <v>22.114790909090914</v>
      </c>
    </row>
    <row r="84" spans="1:16" s="127" customFormat="1" hidden="1" x14ac:dyDescent="0.3">
      <c r="A84" s="138" t="s">
        <v>31</v>
      </c>
      <c r="B84" s="139" t="s">
        <v>66</v>
      </c>
      <c r="C84" s="154" t="s">
        <v>124</v>
      </c>
      <c r="D84" s="147" t="str">
        <f>_xlfn.XLOOKUP(tb_Custo[[#This Row],[NOME COMPLETO]],Tb_EFETIVO[NOME COMPLETO],Tb_EFETIVO[SITUAÇÃO],"",0,1)</f>
        <v>ATIVO</v>
      </c>
      <c r="E84" s="140" t="s">
        <v>9</v>
      </c>
      <c r="F84" s="141">
        <v>45938</v>
      </c>
      <c r="G84" s="133">
        <f>_xlfn.XLOOKUP(C84,Tb_FUNÇÕES[RESUMO - FUNÇÕES],Tb_FUNÇÕES[SALÁRIO BASE],"",0,1)</f>
        <v>1726.63</v>
      </c>
      <c r="H84" s="142">
        <f>IF(tb_Custo[[#This Row],[TOMADOR]]="UTGC",tb_Custo[[#This Row],[SALÁRIO BASE]]*1.3,tb_Custo[[#This Row],[SALÁRIO BASE]])</f>
        <v>1726.63</v>
      </c>
      <c r="I84" s="143">
        <v>1254</v>
      </c>
      <c r="J84" s="143">
        <v>224.4</v>
      </c>
      <c r="K84" s="143">
        <v>246</v>
      </c>
      <c r="L84" s="143">
        <v>11.32</v>
      </c>
      <c r="M84" s="143"/>
      <c r="N84" s="144">
        <f>tb_Custo[[#This Row],[SALÁRIO+PER]]*0.8</f>
        <v>1381.3040000000001</v>
      </c>
      <c r="O84" s="147">
        <f>SUM(tb_Custo[[#This Row],[SALÁRIO+PER]:[ENCARGOS TRABALHISTAS]])</f>
        <v>4843.6540000000005</v>
      </c>
      <c r="P84" s="158">
        <f>tb_Custo[[#This Row],[TOTAL INDIVIDUAL]]/$P$1</f>
        <v>22.016609090909093</v>
      </c>
    </row>
  </sheetData>
  <conditionalFormatting sqref="D3:N84">
    <cfRule type="expression" dxfId="72" priority="3">
      <formula>$D3="INATIVO"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E485D-F7E7-4B0C-B517-477778A13FC8}">
  <dimension ref="A1:L35"/>
  <sheetViews>
    <sheetView showGridLines="0" workbookViewId="0">
      <selection activeCell="D11" sqref="D11"/>
    </sheetView>
  </sheetViews>
  <sheetFormatPr defaultRowHeight="14.4" x14ac:dyDescent="0.3"/>
  <cols>
    <col min="1" max="1" width="12.44140625" bestFit="1" customWidth="1"/>
    <col min="2" max="2" width="11.109375" bestFit="1" customWidth="1"/>
    <col min="3" max="3" width="39.44140625" bestFit="1" customWidth="1"/>
    <col min="4" max="4" width="28.44140625" bestFit="1" customWidth="1"/>
    <col min="5" max="6" width="15.44140625" bestFit="1" customWidth="1"/>
    <col min="7" max="7" width="19.21875" bestFit="1" customWidth="1"/>
    <col min="8" max="8" width="12.5546875" bestFit="1" customWidth="1"/>
    <col min="9" max="9" width="14.44140625" bestFit="1" customWidth="1"/>
    <col min="10" max="10" width="13.5546875" bestFit="1" customWidth="1"/>
    <col min="11" max="11" width="12.44140625" bestFit="1" customWidth="1"/>
    <col min="12" max="12" width="12.21875" bestFit="1" customWidth="1"/>
  </cols>
  <sheetData>
    <row r="1" spans="1:12" ht="15" thickBot="1" x14ac:dyDescent="0.35">
      <c r="A1" s="108" t="s">
        <v>15</v>
      </c>
      <c r="B1" s="111" t="s">
        <v>280</v>
      </c>
      <c r="C1" s="109" t="s">
        <v>163</v>
      </c>
      <c r="D1" s="109" t="s">
        <v>1</v>
      </c>
      <c r="E1" s="109" t="s">
        <v>265</v>
      </c>
      <c r="F1" s="109" t="s">
        <v>264</v>
      </c>
      <c r="G1" s="109" t="s">
        <v>314</v>
      </c>
      <c r="H1" s="109" t="s">
        <v>18</v>
      </c>
      <c r="I1" s="109" t="s">
        <v>3</v>
      </c>
      <c r="J1" s="109" t="s">
        <v>80</v>
      </c>
      <c r="K1" s="112" t="s">
        <v>81</v>
      </c>
      <c r="L1" s="109" t="s">
        <v>11</v>
      </c>
    </row>
    <row r="3" spans="1:12" ht="15" thickBot="1" x14ac:dyDescent="0.35">
      <c r="A3" s="64" t="s">
        <v>15</v>
      </c>
      <c r="B3" s="114" t="s">
        <v>280</v>
      </c>
      <c r="C3" s="3" t="s">
        <v>163</v>
      </c>
      <c r="D3" s="3" t="s">
        <v>1</v>
      </c>
      <c r="E3" s="3" t="s">
        <v>221</v>
      </c>
      <c r="F3" s="118" t="s">
        <v>2</v>
      </c>
      <c r="G3" s="3" t="s">
        <v>227</v>
      </c>
      <c r="H3" s="3" t="s">
        <v>3</v>
      </c>
      <c r="I3" s="3" t="s">
        <v>80</v>
      </c>
      <c r="J3" s="19" t="s">
        <v>81</v>
      </c>
      <c r="K3" s="3" t="s">
        <v>11</v>
      </c>
      <c r="L3" s="3" t="s">
        <v>13</v>
      </c>
    </row>
    <row r="4" spans="1:12" x14ac:dyDescent="0.3">
      <c r="A4" s="65" t="s">
        <v>31</v>
      </c>
      <c r="B4" s="113"/>
      <c r="C4" s="113" t="s">
        <v>303</v>
      </c>
      <c r="D4" s="113" t="s">
        <v>123</v>
      </c>
      <c r="E4" s="115">
        <v>1</v>
      </c>
      <c r="F4" s="119"/>
      <c r="G4" s="116" t="s">
        <v>306</v>
      </c>
      <c r="H4" s="116">
        <v>44279</v>
      </c>
      <c r="I4" s="116"/>
      <c r="J4" s="117">
        <v>16856185880</v>
      </c>
      <c r="K4" s="116"/>
      <c r="L4" s="116" t="s">
        <v>14</v>
      </c>
    </row>
    <row r="5" spans="1:12" x14ac:dyDescent="0.3">
      <c r="A5" s="65" t="s">
        <v>31</v>
      </c>
      <c r="B5" s="113"/>
      <c r="C5" s="12" t="s">
        <v>304</v>
      </c>
      <c r="D5" s="12" t="s">
        <v>123</v>
      </c>
      <c r="E5" s="33">
        <v>1</v>
      </c>
      <c r="F5" s="120"/>
      <c r="G5" s="18" t="s">
        <v>306</v>
      </c>
      <c r="H5" s="18">
        <v>44279</v>
      </c>
      <c r="I5" s="18"/>
      <c r="J5" s="20">
        <v>66748992915</v>
      </c>
      <c r="K5" s="18"/>
      <c r="L5" s="18" t="s">
        <v>14</v>
      </c>
    </row>
    <row r="6" spans="1:12" x14ac:dyDescent="0.3">
      <c r="A6" s="65" t="s">
        <v>31</v>
      </c>
      <c r="B6" s="113"/>
      <c r="C6" s="12" t="s">
        <v>305</v>
      </c>
      <c r="D6" s="12" t="s">
        <v>123</v>
      </c>
      <c r="E6" s="33">
        <v>1</v>
      </c>
      <c r="F6" s="121"/>
      <c r="G6" s="18" t="s">
        <v>306</v>
      </c>
      <c r="H6" s="18">
        <v>44279</v>
      </c>
      <c r="I6" s="18"/>
      <c r="J6" s="20">
        <v>42402176873</v>
      </c>
      <c r="K6" s="18"/>
      <c r="L6" s="18" t="s">
        <v>14</v>
      </c>
    </row>
    <row r="7" spans="1:12" ht="15" customHeight="1" x14ac:dyDescent="0.3">
      <c r="A7" s="65" t="s">
        <v>30</v>
      </c>
      <c r="B7" s="113"/>
      <c r="C7" s="12" t="s">
        <v>182</v>
      </c>
      <c r="D7" s="12" t="s">
        <v>288</v>
      </c>
      <c r="E7" s="33">
        <v>1</v>
      </c>
      <c r="F7" s="120">
        <v>72753637</v>
      </c>
      <c r="G7" s="18" t="s">
        <v>183</v>
      </c>
      <c r="H7" s="18">
        <v>45524</v>
      </c>
      <c r="I7" s="18">
        <v>33298</v>
      </c>
      <c r="J7" s="20" t="s">
        <v>290</v>
      </c>
      <c r="K7" s="18"/>
      <c r="L7" s="18" t="s">
        <v>14</v>
      </c>
    </row>
    <row r="8" spans="1:12" ht="15" customHeight="1" x14ac:dyDescent="0.3">
      <c r="A8" s="65" t="s">
        <v>30</v>
      </c>
      <c r="B8" s="113"/>
      <c r="C8" s="12" t="s">
        <v>184</v>
      </c>
      <c r="D8" s="12" t="s">
        <v>185</v>
      </c>
      <c r="E8" s="33">
        <v>1</v>
      </c>
      <c r="F8" s="121">
        <v>47247651</v>
      </c>
      <c r="G8" s="18" t="s">
        <v>183</v>
      </c>
      <c r="H8" s="18">
        <v>45736</v>
      </c>
      <c r="I8" s="18">
        <v>31094</v>
      </c>
      <c r="J8" s="20" t="s">
        <v>291</v>
      </c>
      <c r="K8" s="18"/>
      <c r="L8" s="18" t="s">
        <v>14</v>
      </c>
    </row>
    <row r="9" spans="1:12" ht="15" customHeight="1" x14ac:dyDescent="0.3">
      <c r="A9" s="65" t="s">
        <v>30</v>
      </c>
      <c r="B9" s="113"/>
      <c r="C9" s="12" t="s">
        <v>283</v>
      </c>
      <c r="D9" s="12" t="s">
        <v>288</v>
      </c>
      <c r="E9" s="33">
        <v>1</v>
      </c>
      <c r="F9" s="120">
        <v>72910438</v>
      </c>
      <c r="G9" s="18" t="s">
        <v>183</v>
      </c>
      <c r="H9" s="18">
        <v>45982</v>
      </c>
      <c r="I9" s="18">
        <v>30247</v>
      </c>
      <c r="J9" s="20" t="s">
        <v>284</v>
      </c>
      <c r="K9" s="18"/>
      <c r="L9" s="18" t="s">
        <v>14</v>
      </c>
    </row>
    <row r="10" spans="1:12" ht="15" customHeight="1" x14ac:dyDescent="0.3">
      <c r="A10" s="65" t="s">
        <v>30</v>
      </c>
      <c r="B10" s="113"/>
      <c r="C10" s="12" t="s">
        <v>285</v>
      </c>
      <c r="D10" s="12" t="s">
        <v>261</v>
      </c>
      <c r="E10" s="33">
        <v>1</v>
      </c>
      <c r="F10" s="121">
        <v>71092138</v>
      </c>
      <c r="G10" s="18" t="s">
        <v>183</v>
      </c>
      <c r="H10" s="18">
        <v>44226</v>
      </c>
      <c r="I10" s="18">
        <v>29900</v>
      </c>
      <c r="J10" s="20" t="s">
        <v>289</v>
      </c>
      <c r="K10" s="18"/>
      <c r="L10" s="18" t="s">
        <v>14</v>
      </c>
    </row>
    <row r="11" spans="1:12" ht="15" customHeight="1" x14ac:dyDescent="0.3">
      <c r="A11" s="65" t="s">
        <v>30</v>
      </c>
      <c r="B11" s="113"/>
      <c r="C11" s="12" t="s">
        <v>286</v>
      </c>
      <c r="D11" s="12" t="s">
        <v>185</v>
      </c>
      <c r="E11" s="33">
        <v>1</v>
      </c>
      <c r="F11" s="120">
        <v>72103801</v>
      </c>
      <c r="G11" s="18" t="s">
        <v>183</v>
      </c>
      <c r="H11" s="18">
        <v>45964</v>
      </c>
      <c r="I11" s="18">
        <v>37040</v>
      </c>
      <c r="J11" s="20" t="s">
        <v>287</v>
      </c>
      <c r="K11" s="18"/>
      <c r="L11" s="18" t="s">
        <v>14</v>
      </c>
    </row>
    <row r="12" spans="1:12" ht="15" customHeight="1" x14ac:dyDescent="0.3">
      <c r="A12" s="65" t="s">
        <v>30</v>
      </c>
      <c r="B12" s="113"/>
      <c r="C12" s="12" t="s">
        <v>357</v>
      </c>
      <c r="D12" s="12" t="s">
        <v>361</v>
      </c>
      <c r="E12" s="33">
        <v>1</v>
      </c>
      <c r="F12" s="121">
        <v>43194397</v>
      </c>
      <c r="G12" s="18" t="s">
        <v>188</v>
      </c>
      <c r="H12" s="18">
        <v>44827</v>
      </c>
      <c r="I12" s="18"/>
      <c r="J12" s="20" t="s">
        <v>363</v>
      </c>
      <c r="K12" s="18"/>
      <c r="L12" s="18" t="s">
        <v>14</v>
      </c>
    </row>
    <row r="13" spans="1:12" ht="15" customHeight="1" x14ac:dyDescent="0.3">
      <c r="A13" s="65" t="s">
        <v>30</v>
      </c>
      <c r="B13" s="113"/>
      <c r="C13" s="12" t="s">
        <v>192</v>
      </c>
      <c r="D13" s="12" t="s">
        <v>362</v>
      </c>
      <c r="E13" s="33">
        <v>1</v>
      </c>
      <c r="F13" s="120">
        <v>72623394</v>
      </c>
      <c r="G13" s="18" t="s">
        <v>188</v>
      </c>
      <c r="H13" s="18">
        <v>45777</v>
      </c>
      <c r="I13" s="18"/>
      <c r="J13" s="20">
        <v>14772241736</v>
      </c>
      <c r="K13" s="18"/>
      <c r="L13" s="18" t="s">
        <v>14</v>
      </c>
    </row>
    <row r="14" spans="1:12" ht="15" customHeight="1" x14ac:dyDescent="0.3">
      <c r="A14" s="65" t="s">
        <v>30</v>
      </c>
      <c r="B14" s="113"/>
      <c r="C14" s="12" t="s">
        <v>186</v>
      </c>
      <c r="D14" s="12" t="s">
        <v>187</v>
      </c>
      <c r="E14" s="33">
        <v>1</v>
      </c>
      <c r="F14" s="121">
        <v>72454662</v>
      </c>
      <c r="G14" s="18" t="s">
        <v>188</v>
      </c>
      <c r="H14" s="18">
        <v>45609</v>
      </c>
      <c r="I14" s="18"/>
      <c r="J14" s="20">
        <v>11308157738</v>
      </c>
      <c r="K14" s="18"/>
      <c r="L14" s="18" t="s">
        <v>14</v>
      </c>
    </row>
    <row r="15" spans="1:12" ht="15" customHeight="1" x14ac:dyDescent="0.3">
      <c r="A15" s="65" t="s">
        <v>30</v>
      </c>
      <c r="B15" s="113"/>
      <c r="C15" s="12" t="s">
        <v>273</v>
      </c>
      <c r="D15" s="12" t="s">
        <v>187</v>
      </c>
      <c r="E15" s="33">
        <v>1</v>
      </c>
      <c r="F15" s="120">
        <v>72900064</v>
      </c>
      <c r="G15" s="18" t="s">
        <v>188</v>
      </c>
      <c r="H15" s="18">
        <v>45993</v>
      </c>
      <c r="I15" s="18"/>
      <c r="J15" s="20">
        <v>67045359268</v>
      </c>
      <c r="K15" s="18"/>
      <c r="L15" s="18" t="s">
        <v>14</v>
      </c>
    </row>
    <row r="16" spans="1:12" ht="15" customHeight="1" x14ac:dyDescent="0.3">
      <c r="A16" s="65" t="s">
        <v>30</v>
      </c>
      <c r="B16" s="113"/>
      <c r="C16" s="12" t="s">
        <v>274</v>
      </c>
      <c r="D16" s="12" t="s">
        <v>187</v>
      </c>
      <c r="E16" s="33">
        <v>1</v>
      </c>
      <c r="F16" s="121">
        <v>47488679</v>
      </c>
      <c r="G16" s="18" t="s">
        <v>188</v>
      </c>
      <c r="H16" s="18">
        <v>45993</v>
      </c>
      <c r="I16" s="18"/>
      <c r="J16" s="20">
        <v>1255901560</v>
      </c>
      <c r="K16" s="18"/>
      <c r="L16" s="18" t="s">
        <v>14</v>
      </c>
    </row>
    <row r="17" spans="1:12" ht="15" customHeight="1" x14ac:dyDescent="0.3">
      <c r="A17" s="65" t="s">
        <v>30</v>
      </c>
      <c r="B17" s="113"/>
      <c r="C17" s="12" t="s">
        <v>189</v>
      </c>
      <c r="D17" s="12" t="s">
        <v>190</v>
      </c>
      <c r="E17" s="33">
        <v>1</v>
      </c>
      <c r="F17" s="120">
        <v>49923733</v>
      </c>
      <c r="G17" s="18" t="s">
        <v>188</v>
      </c>
      <c r="H17" s="18">
        <v>44827</v>
      </c>
      <c r="I17" s="18"/>
      <c r="J17" s="20">
        <v>14420294710</v>
      </c>
      <c r="K17" s="18"/>
      <c r="L17" s="18" t="s">
        <v>14</v>
      </c>
    </row>
    <row r="18" spans="1:12" ht="15" customHeight="1" x14ac:dyDescent="0.3">
      <c r="A18" s="65" t="s">
        <v>30</v>
      </c>
      <c r="B18" s="113"/>
      <c r="C18" s="12" t="s">
        <v>191</v>
      </c>
      <c r="D18" s="12" t="s">
        <v>187</v>
      </c>
      <c r="E18" s="33">
        <v>1</v>
      </c>
      <c r="F18" s="121">
        <v>49017693</v>
      </c>
      <c r="G18" s="18" t="s">
        <v>188</v>
      </c>
      <c r="H18" s="18">
        <v>45777</v>
      </c>
      <c r="I18" s="18"/>
      <c r="J18" s="20">
        <v>12766190732</v>
      </c>
      <c r="K18" s="18"/>
      <c r="L18" s="18" t="s">
        <v>14</v>
      </c>
    </row>
    <row r="19" spans="1:12" ht="15" customHeight="1" x14ac:dyDescent="0.3">
      <c r="A19" s="65" t="s">
        <v>30</v>
      </c>
      <c r="B19" s="113"/>
      <c r="C19" s="12" t="s">
        <v>358</v>
      </c>
      <c r="D19" s="12" t="s">
        <v>187</v>
      </c>
      <c r="E19" s="33">
        <v>1</v>
      </c>
      <c r="F19" s="120">
        <v>72106575</v>
      </c>
      <c r="G19" s="18" t="s">
        <v>188</v>
      </c>
      <c r="H19" s="18">
        <v>46034</v>
      </c>
      <c r="I19" s="18"/>
      <c r="J19" s="20">
        <v>18327560760</v>
      </c>
      <c r="K19" s="18"/>
      <c r="L19" s="18" t="s">
        <v>14</v>
      </c>
    </row>
    <row r="20" spans="1:12" ht="15" customHeight="1" x14ac:dyDescent="0.3">
      <c r="A20" s="65" t="s">
        <v>30</v>
      </c>
      <c r="B20" s="113"/>
      <c r="C20" s="12" t="s">
        <v>359</v>
      </c>
      <c r="D20" s="12" t="s">
        <v>362</v>
      </c>
      <c r="E20" s="33">
        <v>1</v>
      </c>
      <c r="F20" s="121">
        <v>72947677</v>
      </c>
      <c r="G20" s="18" t="s">
        <v>188</v>
      </c>
      <c r="H20" s="18">
        <v>46034</v>
      </c>
      <c r="I20" s="18"/>
      <c r="J20" s="20">
        <v>15505709788</v>
      </c>
      <c r="K20" s="18"/>
      <c r="L20" s="18" t="s">
        <v>14</v>
      </c>
    </row>
    <row r="21" spans="1:12" ht="15" customHeight="1" x14ac:dyDescent="0.3">
      <c r="A21" s="65" t="s">
        <v>30</v>
      </c>
      <c r="B21" s="113"/>
      <c r="C21" s="12" t="s">
        <v>360</v>
      </c>
      <c r="D21" s="12" t="s">
        <v>187</v>
      </c>
      <c r="E21" s="33">
        <v>1</v>
      </c>
      <c r="F21" s="120">
        <v>72077354</v>
      </c>
      <c r="G21" s="18" t="s">
        <v>188</v>
      </c>
      <c r="H21" s="18">
        <v>46034</v>
      </c>
      <c r="I21" s="18"/>
      <c r="J21" s="20">
        <v>14372009747</v>
      </c>
      <c r="K21" s="18"/>
      <c r="L21" s="18" t="s">
        <v>14</v>
      </c>
    </row>
    <row r="22" spans="1:12" ht="15" customHeight="1" x14ac:dyDescent="0.3">
      <c r="A22" s="65" t="s">
        <v>30</v>
      </c>
      <c r="B22" s="113"/>
      <c r="C22" s="12" t="s">
        <v>373</v>
      </c>
      <c r="D22" s="12" t="s">
        <v>187</v>
      </c>
      <c r="E22" s="33">
        <v>1</v>
      </c>
      <c r="F22" s="121">
        <v>72980987</v>
      </c>
      <c r="G22" s="18" t="s">
        <v>188</v>
      </c>
      <c r="H22" s="18">
        <v>46071</v>
      </c>
      <c r="I22" s="18"/>
      <c r="J22" s="20" t="s">
        <v>364</v>
      </c>
      <c r="K22" s="18"/>
      <c r="L22" s="18" t="s">
        <v>14</v>
      </c>
    </row>
    <row r="23" spans="1:12" ht="18" customHeight="1" x14ac:dyDescent="0.3">
      <c r="A23" s="65" t="s">
        <v>30</v>
      </c>
      <c r="B23" s="113"/>
      <c r="C23" s="12" t="s">
        <v>374</v>
      </c>
      <c r="D23" s="12" t="s">
        <v>187</v>
      </c>
      <c r="E23" s="33">
        <v>1</v>
      </c>
      <c r="F23" s="120">
        <v>71742060</v>
      </c>
      <c r="G23" s="18" t="s">
        <v>188</v>
      </c>
      <c r="H23" s="18">
        <v>46071</v>
      </c>
      <c r="I23" s="18"/>
      <c r="J23" s="20">
        <v>86690009548</v>
      </c>
      <c r="K23" s="18"/>
      <c r="L23" s="18" t="s">
        <v>14</v>
      </c>
    </row>
    <row r="24" spans="1:12" ht="15" customHeight="1" x14ac:dyDescent="0.3">
      <c r="A24" s="65" t="s">
        <v>30</v>
      </c>
      <c r="B24" s="113"/>
      <c r="C24" s="12" t="s">
        <v>375</v>
      </c>
      <c r="D24" s="12" t="s">
        <v>187</v>
      </c>
      <c r="E24" s="33">
        <v>1</v>
      </c>
      <c r="F24" s="121">
        <v>72981185</v>
      </c>
      <c r="G24" s="18" t="s">
        <v>188</v>
      </c>
      <c r="H24" s="18">
        <v>46071</v>
      </c>
      <c r="I24" s="18"/>
      <c r="J24" s="20">
        <v>86047687504</v>
      </c>
      <c r="K24" s="18"/>
      <c r="L24" s="18" t="s">
        <v>14</v>
      </c>
    </row>
    <row r="25" spans="1:12" ht="15" customHeight="1" x14ac:dyDescent="0.3">
      <c r="A25" s="65" t="s">
        <v>30</v>
      </c>
      <c r="B25" s="113"/>
      <c r="C25" s="12" t="s">
        <v>376</v>
      </c>
      <c r="D25" s="12" t="s">
        <v>187</v>
      </c>
      <c r="E25" s="33">
        <v>1</v>
      </c>
      <c r="F25" s="120">
        <v>72975990</v>
      </c>
      <c r="G25" s="18" t="s">
        <v>188</v>
      </c>
      <c r="H25" s="18">
        <v>46071</v>
      </c>
      <c r="I25" s="18"/>
      <c r="J25" s="20" t="s">
        <v>365</v>
      </c>
      <c r="K25" s="18"/>
      <c r="L25" s="18" t="s">
        <v>14</v>
      </c>
    </row>
    <row r="26" spans="1:12" ht="15" customHeight="1" thickBot="1" x14ac:dyDescent="0.35">
      <c r="A26" s="65" t="s">
        <v>30</v>
      </c>
      <c r="B26" s="113"/>
      <c r="C26" s="12" t="s">
        <v>377</v>
      </c>
      <c r="D26" s="12" t="s">
        <v>190</v>
      </c>
      <c r="E26" s="33">
        <v>1</v>
      </c>
      <c r="F26" s="122">
        <v>45030269</v>
      </c>
      <c r="G26" s="18" t="s">
        <v>188</v>
      </c>
      <c r="H26" s="18">
        <v>46071</v>
      </c>
      <c r="I26" s="18"/>
      <c r="J26" s="110" t="s">
        <v>366</v>
      </c>
      <c r="K26" s="18"/>
      <c r="L26" s="18" t="s">
        <v>14</v>
      </c>
    </row>
    <row r="35" spans="2:2" x14ac:dyDescent="0.3">
      <c r="B35" t="str">
        <f t="shared" ref="B35" si="0">UPPER(B27)</f>
        <v/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AEB55-5AD5-44D4-9527-6F8172A3613B}">
  <dimension ref="A1:E1048488"/>
  <sheetViews>
    <sheetView showGridLines="0" zoomScaleNormal="100" workbookViewId="0">
      <pane xSplit="1" ySplit="4" topLeftCell="B5" activePane="bottomRight" state="frozen"/>
      <selection activeCell="A2" sqref="A2"/>
      <selection pane="topRight" activeCell="A2" sqref="A2"/>
      <selection pane="bottomLeft" activeCell="A2" sqref="A2"/>
      <selection pane="bottomRight" activeCell="C14" sqref="C14"/>
    </sheetView>
  </sheetViews>
  <sheetFormatPr defaultColWidth="9.109375" defaultRowHeight="0" customHeight="1" zeroHeight="1" x14ac:dyDescent="0.3"/>
  <cols>
    <col min="1" max="1" width="13.5546875" style="45" hidden="1" customWidth="1"/>
    <col min="2" max="2" width="13.5546875" bestFit="1" customWidth="1"/>
    <col min="3" max="3" width="38" bestFit="1" customWidth="1"/>
    <col min="4" max="4" width="38.21875" customWidth="1"/>
    <col min="5" max="5" width="32.44140625" customWidth="1"/>
    <col min="6" max="6" width="1.21875" customWidth="1"/>
    <col min="7" max="10" width="9.109375" customWidth="1"/>
    <col min="11" max="11" width="11.44140625" customWidth="1"/>
  </cols>
  <sheetData>
    <row r="1" spans="1:5" ht="48" customHeight="1" x14ac:dyDescent="0.3">
      <c r="A1" s="42"/>
      <c r="B1" s="7" t="str">
        <f>EFETIVO!N1</f>
        <v>ATUALIZAÇÃO: 09/03/2026</v>
      </c>
      <c r="C1" s="168" t="s">
        <v>267</v>
      </c>
      <c r="D1" s="168"/>
      <c r="E1" s="169"/>
    </row>
    <row r="2" spans="1:5" ht="40.200000000000003" customHeight="1" x14ac:dyDescent="0.4">
      <c r="A2" s="43"/>
      <c r="B2" s="8" t="s">
        <v>19</v>
      </c>
      <c r="C2" s="9"/>
      <c r="D2" s="9"/>
      <c r="E2" s="10"/>
    </row>
    <row r="3" spans="1:5" ht="40.200000000000003" customHeight="1" x14ac:dyDescent="0.3">
      <c r="A3" s="43"/>
      <c r="B3" s="11">
        <f>SUBTOTAL(3,Tb_EMAILGESTAO[NOME])</f>
        <v>20</v>
      </c>
      <c r="C3" s="9"/>
      <c r="D3" s="9"/>
      <c r="E3" s="10"/>
    </row>
    <row r="4" spans="1:5" ht="24.9" customHeight="1" thickBot="1" x14ac:dyDescent="0.35">
      <c r="A4" s="44" t="s">
        <v>20</v>
      </c>
      <c r="B4" s="2" t="s">
        <v>15</v>
      </c>
      <c r="C4" s="3" t="s">
        <v>0</v>
      </c>
      <c r="D4" s="3" t="s">
        <v>1</v>
      </c>
      <c r="E4" s="4" t="s">
        <v>21</v>
      </c>
    </row>
    <row r="5" spans="1:5" ht="15" customHeight="1" x14ac:dyDescent="0.3">
      <c r="A5" s="46" t="s">
        <v>25</v>
      </c>
      <c r="B5" s="5" t="s">
        <v>31</v>
      </c>
      <c r="C5" s="16" t="s">
        <v>281</v>
      </c>
      <c r="D5" s="16" t="s">
        <v>68</v>
      </c>
      <c r="E5" t="s">
        <v>302</v>
      </c>
    </row>
    <row r="6" spans="1:5" ht="15" customHeight="1" x14ac:dyDescent="0.3">
      <c r="A6" s="46" t="s">
        <v>25</v>
      </c>
      <c r="B6" s="5" t="s">
        <v>31</v>
      </c>
      <c r="C6" s="12" t="s">
        <v>33</v>
      </c>
      <c r="D6" s="12" t="s">
        <v>68</v>
      </c>
      <c r="E6" s="15" t="s">
        <v>239</v>
      </c>
    </row>
    <row r="7" spans="1:5" ht="15" customHeight="1" x14ac:dyDescent="0.3">
      <c r="A7" s="46" t="s">
        <v>23</v>
      </c>
      <c r="B7" s="5" t="s">
        <v>31</v>
      </c>
      <c r="C7" s="12" t="s">
        <v>36</v>
      </c>
      <c r="D7" s="12" t="s">
        <v>231</v>
      </c>
      <c r="E7" s="15" t="s">
        <v>240</v>
      </c>
    </row>
    <row r="8" spans="1:5" ht="15" customHeight="1" x14ac:dyDescent="0.3">
      <c r="A8" s="46" t="s">
        <v>24</v>
      </c>
      <c r="B8" s="5" t="s">
        <v>30</v>
      </c>
      <c r="C8" s="12" t="s">
        <v>37</v>
      </c>
      <c r="D8" s="12" t="s">
        <v>67</v>
      </c>
      <c r="E8" s="13" t="s">
        <v>241</v>
      </c>
    </row>
    <row r="9" spans="1:5" ht="15" customHeight="1" x14ac:dyDescent="0.3">
      <c r="A9" s="46" t="s">
        <v>26</v>
      </c>
      <c r="B9" s="5" t="s">
        <v>30</v>
      </c>
      <c r="C9" s="12" t="s">
        <v>38</v>
      </c>
      <c r="D9" s="12" t="s">
        <v>229</v>
      </c>
      <c r="E9" s="13" t="s">
        <v>234</v>
      </c>
    </row>
    <row r="10" spans="1:5" ht="15" customHeight="1" x14ac:dyDescent="0.3">
      <c r="A10" s="46" t="s">
        <v>23</v>
      </c>
      <c r="B10" s="5" t="s">
        <v>30</v>
      </c>
      <c r="C10" s="12" t="s">
        <v>76</v>
      </c>
      <c r="D10" s="12" t="s">
        <v>231</v>
      </c>
      <c r="E10" s="15" t="s">
        <v>244</v>
      </c>
    </row>
    <row r="11" spans="1:5" ht="15" customHeight="1" x14ac:dyDescent="0.3">
      <c r="A11" s="46" t="s">
        <v>24</v>
      </c>
      <c r="B11" s="5" t="s">
        <v>30</v>
      </c>
      <c r="C11" s="12" t="s">
        <v>4</v>
      </c>
      <c r="D11" s="12" t="s">
        <v>75</v>
      </c>
      <c r="E11" s="13" t="s">
        <v>235</v>
      </c>
    </row>
    <row r="12" spans="1:5" ht="15" customHeight="1" x14ac:dyDescent="0.3">
      <c r="A12" s="46" t="s">
        <v>23</v>
      </c>
      <c r="B12" s="5" t="s">
        <v>30</v>
      </c>
      <c r="C12" s="12" t="s">
        <v>40</v>
      </c>
      <c r="D12" s="12" t="s">
        <v>230</v>
      </c>
      <c r="E12" s="15" t="s">
        <v>237</v>
      </c>
    </row>
    <row r="13" spans="1:5" ht="15" customHeight="1" x14ac:dyDescent="0.3">
      <c r="A13" s="47" t="s">
        <v>24</v>
      </c>
      <c r="B13" s="5" t="s">
        <v>31</v>
      </c>
      <c r="C13" s="12" t="s">
        <v>12</v>
      </c>
      <c r="D13" s="14" t="s">
        <v>75</v>
      </c>
      <c r="E13" s="13" t="s">
        <v>242</v>
      </c>
    </row>
    <row r="14" spans="1:5" ht="15" customHeight="1" x14ac:dyDescent="0.3">
      <c r="A14" s="46" t="s">
        <v>24</v>
      </c>
      <c r="B14" s="5" t="s">
        <v>30</v>
      </c>
      <c r="C14" s="12" t="s">
        <v>41</v>
      </c>
      <c r="D14" s="14" t="s">
        <v>67</v>
      </c>
      <c r="E14" s="15" t="s">
        <v>245</v>
      </c>
    </row>
    <row r="15" spans="1:5" ht="15" customHeight="1" x14ac:dyDescent="0.3">
      <c r="A15" s="47" t="s">
        <v>25</v>
      </c>
      <c r="B15" s="5" t="s">
        <v>30</v>
      </c>
      <c r="C15" s="16" t="s">
        <v>42</v>
      </c>
      <c r="D15" s="17" t="s">
        <v>68</v>
      </c>
      <c r="E15" s="15" t="s">
        <v>246</v>
      </c>
    </row>
    <row r="16" spans="1:5" ht="15" customHeight="1" x14ac:dyDescent="0.3">
      <c r="A16" s="47" t="s">
        <v>26</v>
      </c>
      <c r="B16" s="5" t="s">
        <v>30</v>
      </c>
      <c r="C16" s="12" t="s">
        <v>43</v>
      </c>
      <c r="D16" s="14" t="s">
        <v>233</v>
      </c>
      <c r="E16" s="15" t="s">
        <v>247</v>
      </c>
    </row>
    <row r="17" spans="1:5" ht="15" customHeight="1" x14ac:dyDescent="0.3">
      <c r="A17" s="47" t="s">
        <v>25</v>
      </c>
      <c r="B17" s="5" t="s">
        <v>30</v>
      </c>
      <c r="C17" s="12" t="s">
        <v>44</v>
      </c>
      <c r="D17" s="14" t="s">
        <v>68</v>
      </c>
      <c r="E17" s="15" t="s">
        <v>248</v>
      </c>
    </row>
    <row r="18" spans="1:5" ht="15" customHeight="1" x14ac:dyDescent="0.3">
      <c r="A18" s="47" t="s">
        <v>23</v>
      </c>
      <c r="B18" s="5" t="s">
        <v>31</v>
      </c>
      <c r="C18" s="12" t="s">
        <v>45</v>
      </c>
      <c r="D18" s="14" t="s">
        <v>230</v>
      </c>
      <c r="E18" s="15" t="s">
        <v>238</v>
      </c>
    </row>
    <row r="19" spans="1:5" ht="15" customHeight="1" x14ac:dyDescent="0.3">
      <c r="A19" s="47" t="s">
        <v>22</v>
      </c>
      <c r="B19" s="5" t="s">
        <v>31</v>
      </c>
      <c r="C19" s="12" t="s">
        <v>226</v>
      </c>
      <c r="D19" s="14" t="s">
        <v>232</v>
      </c>
      <c r="E19" s="13" t="s">
        <v>243</v>
      </c>
    </row>
    <row r="20" spans="1:5" ht="15" customHeight="1" x14ac:dyDescent="0.3">
      <c r="A20" s="48" t="s">
        <v>22</v>
      </c>
      <c r="B20" s="5" t="s">
        <v>30</v>
      </c>
      <c r="C20" s="12" t="s">
        <v>47</v>
      </c>
      <c r="D20" s="14" t="s">
        <v>232</v>
      </c>
      <c r="E20" s="15" t="s">
        <v>249</v>
      </c>
    </row>
    <row r="21" spans="1:5" ht="15" customHeight="1" x14ac:dyDescent="0.3">
      <c r="A21" s="47" t="s">
        <v>25</v>
      </c>
      <c r="B21" s="5" t="s">
        <v>30</v>
      </c>
      <c r="C21" s="12" t="s">
        <v>60</v>
      </c>
      <c r="D21" s="14" t="s">
        <v>72</v>
      </c>
      <c r="E21" s="13" t="s">
        <v>236</v>
      </c>
    </row>
    <row r="22" spans="1:5" ht="15" customHeight="1" x14ac:dyDescent="0.3">
      <c r="A22" s="47" t="s">
        <v>23</v>
      </c>
      <c r="B22" s="5" t="s">
        <v>30</v>
      </c>
      <c r="C22" s="12" t="s">
        <v>250</v>
      </c>
      <c r="D22" s="14" t="s">
        <v>79</v>
      </c>
      <c r="E22" t="s">
        <v>251</v>
      </c>
    </row>
    <row r="23" spans="1:5" ht="15" customHeight="1" x14ac:dyDescent="0.3">
      <c r="A23" s="46" t="s">
        <v>252</v>
      </c>
      <c r="B23" s="5" t="s">
        <v>31</v>
      </c>
      <c r="C23" s="16" t="s">
        <v>34</v>
      </c>
      <c r="D23" s="14" t="s">
        <v>74</v>
      </c>
      <c r="E23" t="s">
        <v>253</v>
      </c>
    </row>
    <row r="24" spans="1:5" ht="15" customHeight="1" x14ac:dyDescent="0.3">
      <c r="A24" s="46" t="s">
        <v>252</v>
      </c>
      <c r="B24" s="5" t="s">
        <v>30</v>
      </c>
      <c r="C24" s="12" t="s">
        <v>174</v>
      </c>
      <c r="D24" s="14" t="s">
        <v>74</v>
      </c>
      <c r="E24" t="s">
        <v>254</v>
      </c>
    </row>
    <row r="25" spans="1:5" ht="14.4" x14ac:dyDescent="0.3"/>
    <row r="26" spans="1:5" ht="14.4" x14ac:dyDescent="0.3"/>
    <row r="27" spans="1:5" ht="14.4" x14ac:dyDescent="0.3"/>
    <row r="28" spans="1:5" ht="14.4" customHeight="1" x14ac:dyDescent="0.3"/>
    <row r="29" spans="1:5" ht="14.4" customHeight="1" x14ac:dyDescent="0.3"/>
    <row r="30" spans="1:5" ht="14.4" customHeight="1" x14ac:dyDescent="0.3"/>
    <row r="31" spans="1:5" ht="14.4" customHeight="1" x14ac:dyDescent="0.3"/>
    <row r="32" spans="1:5" ht="14.4" customHeight="1" x14ac:dyDescent="0.3"/>
    <row r="33" ht="14.4" customHeight="1" x14ac:dyDescent="0.3"/>
    <row r="34" ht="14.4" customHeight="1" x14ac:dyDescent="0.3"/>
    <row r="35" ht="14.4" customHeight="1" x14ac:dyDescent="0.3"/>
    <row r="36" ht="14.4" customHeight="1" x14ac:dyDescent="0.3"/>
    <row r="37" ht="14.4" customHeight="1" x14ac:dyDescent="0.3"/>
    <row r="38" ht="14.4" customHeight="1" x14ac:dyDescent="0.3"/>
    <row r="39" ht="14.4" customHeight="1" x14ac:dyDescent="0.3"/>
    <row r="40" ht="14.4" customHeight="1" x14ac:dyDescent="0.3"/>
    <row r="41" ht="14.4" customHeight="1" x14ac:dyDescent="0.3"/>
    <row r="42" ht="14.4" customHeight="1" x14ac:dyDescent="0.3"/>
    <row r="43" ht="14.4" customHeight="1" x14ac:dyDescent="0.3"/>
    <row r="44" ht="14.4" customHeight="1" x14ac:dyDescent="0.3"/>
    <row r="45" ht="14.4" customHeight="1" x14ac:dyDescent="0.3"/>
    <row r="46" ht="14.4" customHeight="1" x14ac:dyDescent="0.3"/>
    <row r="47" ht="14.4" customHeight="1" x14ac:dyDescent="0.3"/>
    <row r="48" ht="14.4" customHeight="1" x14ac:dyDescent="0.3"/>
    <row r="49" ht="14.4" customHeight="1" x14ac:dyDescent="0.3"/>
    <row r="50" ht="14.4" customHeight="1" x14ac:dyDescent="0.3"/>
    <row r="51" ht="14.4" customHeight="1" x14ac:dyDescent="0.3"/>
    <row r="52" ht="14.4" customHeight="1" x14ac:dyDescent="0.3"/>
    <row r="53" ht="14.4" customHeight="1" x14ac:dyDescent="0.3"/>
    <row r="54" ht="14.4" customHeight="1" x14ac:dyDescent="0.3"/>
    <row r="55" ht="14.4" customHeight="1" x14ac:dyDescent="0.3"/>
    <row r="56" ht="14.4" customHeight="1" x14ac:dyDescent="0.3"/>
    <row r="57" ht="14.4" customHeight="1" x14ac:dyDescent="0.3"/>
    <row r="58" ht="14.4" customHeight="1" x14ac:dyDescent="0.3"/>
    <row r="59" ht="14.4" customHeight="1" x14ac:dyDescent="0.3"/>
    <row r="60" ht="14.4" customHeight="1" x14ac:dyDescent="0.3"/>
    <row r="61" ht="14.4" customHeight="1" x14ac:dyDescent="0.3"/>
    <row r="62" ht="14.4" customHeight="1" x14ac:dyDescent="0.3"/>
    <row r="63" ht="14.4" customHeight="1" x14ac:dyDescent="0.3"/>
    <row r="64" ht="14.4" customHeight="1" x14ac:dyDescent="0.3"/>
    <row r="65" ht="14.4" customHeight="1" x14ac:dyDescent="0.3"/>
    <row r="66" ht="14.4" customHeight="1" x14ac:dyDescent="0.3"/>
    <row r="67" ht="14.4" customHeight="1" x14ac:dyDescent="0.3"/>
    <row r="68" ht="14.4" customHeight="1" x14ac:dyDescent="0.3"/>
    <row r="69" ht="14.4" customHeight="1" x14ac:dyDescent="0.3"/>
    <row r="70" ht="14.4" customHeight="1" x14ac:dyDescent="0.3"/>
    <row r="71" ht="14.4" customHeight="1" x14ac:dyDescent="0.3"/>
    <row r="72" ht="14.4" customHeight="1" x14ac:dyDescent="0.3"/>
    <row r="73" ht="14.4" customHeight="1" x14ac:dyDescent="0.3"/>
    <row r="74" ht="14.4" customHeight="1" x14ac:dyDescent="0.3"/>
    <row r="75" ht="14.4" customHeight="1" x14ac:dyDescent="0.3"/>
    <row r="76" ht="14.4" customHeight="1" x14ac:dyDescent="0.3"/>
    <row r="77" ht="14.4" customHeight="1" x14ac:dyDescent="0.3"/>
    <row r="78" ht="14.4" customHeight="1" x14ac:dyDescent="0.3"/>
    <row r="79" ht="14.4" customHeight="1" x14ac:dyDescent="0.3"/>
    <row r="80" ht="14.4" customHeight="1" x14ac:dyDescent="0.3"/>
    <row r="81" ht="14.4" customHeight="1" x14ac:dyDescent="0.3"/>
    <row r="82" ht="14.4" customHeight="1" x14ac:dyDescent="0.3"/>
    <row r="83" ht="14.4" customHeight="1" x14ac:dyDescent="0.3"/>
    <row r="84" ht="14.4" customHeight="1" x14ac:dyDescent="0.3"/>
    <row r="85" ht="14.4" customHeight="1" x14ac:dyDescent="0.3"/>
    <row r="86" ht="14.4" customHeight="1" x14ac:dyDescent="0.3"/>
    <row r="87" ht="14.4" customHeight="1" x14ac:dyDescent="0.3"/>
    <row r="88" ht="14.4" customHeight="1" x14ac:dyDescent="0.3"/>
    <row r="89" ht="14.4" customHeight="1" x14ac:dyDescent="0.3"/>
    <row r="90" ht="14.4" customHeight="1" x14ac:dyDescent="0.3"/>
    <row r="91" ht="14.4" customHeight="1" x14ac:dyDescent="0.3"/>
    <row r="92" ht="14.4" customHeight="1" x14ac:dyDescent="0.3"/>
    <row r="93" ht="14.4" customHeight="1" x14ac:dyDescent="0.3"/>
    <row r="94" ht="14.4" customHeight="1" x14ac:dyDescent="0.3"/>
    <row r="95" ht="14.4" customHeight="1" x14ac:dyDescent="0.3"/>
    <row r="96" ht="14.4" customHeight="1" x14ac:dyDescent="0.3"/>
    <row r="97" ht="14.4" customHeight="1" x14ac:dyDescent="0.3"/>
    <row r="98" ht="14.4" customHeight="1" x14ac:dyDescent="0.3"/>
    <row r="99" ht="14.4" customHeight="1" x14ac:dyDescent="0.3"/>
    <row r="100" ht="14.4" customHeight="1" x14ac:dyDescent="0.3"/>
    <row r="101" ht="14.4" customHeight="1" x14ac:dyDescent="0.3"/>
    <row r="102" ht="14.4" customHeight="1" x14ac:dyDescent="0.3"/>
    <row r="103" ht="14.4" customHeight="1" x14ac:dyDescent="0.3"/>
    <row r="104" ht="14.4" customHeight="1" x14ac:dyDescent="0.3"/>
    <row r="105" ht="14.4" customHeight="1" x14ac:dyDescent="0.3"/>
    <row r="106" ht="14.4" customHeight="1" x14ac:dyDescent="0.3"/>
    <row r="107" ht="14.4" customHeight="1" x14ac:dyDescent="0.3"/>
    <row r="108" ht="14.4" customHeight="1" x14ac:dyDescent="0.3"/>
    <row r="109" ht="14.4" customHeight="1" x14ac:dyDescent="0.3"/>
    <row r="110" ht="14.4" customHeight="1" x14ac:dyDescent="0.3"/>
    <row r="111" ht="14.4" customHeight="1" x14ac:dyDescent="0.3"/>
    <row r="112" ht="14.4" customHeight="1" x14ac:dyDescent="0.3"/>
    <row r="113" ht="14.4" customHeight="1" x14ac:dyDescent="0.3"/>
    <row r="114" ht="14.4" customHeight="1" x14ac:dyDescent="0.3"/>
    <row r="115" ht="14.4" customHeight="1" x14ac:dyDescent="0.3"/>
    <row r="116" ht="14.4" customHeight="1" x14ac:dyDescent="0.3"/>
    <row r="117" ht="14.4" customHeight="1" x14ac:dyDescent="0.3"/>
    <row r="118" ht="14.4" customHeight="1" x14ac:dyDescent="0.3"/>
    <row r="119" ht="14.4" customHeight="1" x14ac:dyDescent="0.3"/>
    <row r="120" ht="14.4" customHeight="1" x14ac:dyDescent="0.3"/>
    <row r="121" ht="14.4" customHeight="1" x14ac:dyDescent="0.3"/>
    <row r="122" ht="14.4" customHeight="1" x14ac:dyDescent="0.3"/>
    <row r="123" ht="14.4" customHeight="1" x14ac:dyDescent="0.3"/>
    <row r="124" ht="14.4" customHeight="1" x14ac:dyDescent="0.3"/>
    <row r="125" ht="14.4" customHeight="1" x14ac:dyDescent="0.3"/>
    <row r="126" ht="14.4" customHeight="1" x14ac:dyDescent="0.3"/>
    <row r="127" ht="14.4" customHeight="1" x14ac:dyDescent="0.3"/>
    <row r="128" ht="14.4" customHeight="1" x14ac:dyDescent="0.3"/>
    <row r="129" ht="14.4" customHeight="1" x14ac:dyDescent="0.3"/>
    <row r="130" ht="14.4" customHeight="1" x14ac:dyDescent="0.3"/>
    <row r="131" ht="14.4" customHeight="1" x14ac:dyDescent="0.3"/>
    <row r="132" ht="14.4" customHeight="1" x14ac:dyDescent="0.3"/>
    <row r="133" ht="14.4" customHeight="1" x14ac:dyDescent="0.3"/>
    <row r="134" ht="14.4" customHeight="1" x14ac:dyDescent="0.3"/>
    <row r="135" ht="14.4" customHeight="1" x14ac:dyDescent="0.3"/>
    <row r="136" ht="14.4" customHeight="1" x14ac:dyDescent="0.3"/>
    <row r="137" ht="14.4" customHeight="1" x14ac:dyDescent="0.3"/>
    <row r="138" ht="14.4" customHeight="1" x14ac:dyDescent="0.3"/>
    <row r="139" ht="14.4" customHeight="1" x14ac:dyDescent="0.3"/>
    <row r="140" ht="14.4" customHeight="1" x14ac:dyDescent="0.3"/>
    <row r="141" ht="14.4" customHeight="1" x14ac:dyDescent="0.3"/>
    <row r="142" ht="14.4" customHeight="1" x14ac:dyDescent="0.3"/>
    <row r="143" ht="14.4" customHeight="1" x14ac:dyDescent="0.3"/>
    <row r="144" ht="14.4" customHeight="1" x14ac:dyDescent="0.3"/>
    <row r="145" ht="14.4" customHeight="1" x14ac:dyDescent="0.3"/>
    <row r="146" ht="14.4" customHeight="1" x14ac:dyDescent="0.3"/>
    <row r="147" ht="14.4" customHeight="1" x14ac:dyDescent="0.3"/>
    <row r="148" ht="14.4" customHeight="1" x14ac:dyDescent="0.3"/>
    <row r="149" ht="14.4" customHeight="1" x14ac:dyDescent="0.3"/>
    <row r="150" ht="14.4" customHeight="1" x14ac:dyDescent="0.3"/>
    <row r="151" ht="14.4" customHeight="1" x14ac:dyDescent="0.3"/>
    <row r="152" ht="14.4" customHeight="1" x14ac:dyDescent="0.3"/>
    <row r="153" ht="14.4" customHeight="1" x14ac:dyDescent="0.3"/>
    <row r="154" ht="14.4" customHeight="1" x14ac:dyDescent="0.3"/>
    <row r="155" ht="14.4" customHeight="1" x14ac:dyDescent="0.3"/>
    <row r="156" ht="14.4" customHeight="1" x14ac:dyDescent="0.3"/>
    <row r="157" ht="14.4" customHeight="1" x14ac:dyDescent="0.3"/>
    <row r="158" ht="14.4" customHeight="1" x14ac:dyDescent="0.3"/>
    <row r="159" ht="14.4" customHeight="1" x14ac:dyDescent="0.3"/>
    <row r="160" ht="14.4" customHeight="1" x14ac:dyDescent="0.3"/>
    <row r="161" ht="14.4" customHeight="1" x14ac:dyDescent="0.3"/>
    <row r="162" ht="14.4" customHeight="1" x14ac:dyDescent="0.3"/>
    <row r="163" ht="14.4" customHeight="1" x14ac:dyDescent="0.3"/>
    <row r="164" ht="14.4" customHeight="1" x14ac:dyDescent="0.3"/>
    <row r="165" ht="14.4" customHeight="1" x14ac:dyDescent="0.3"/>
    <row r="166" ht="14.4" customHeight="1" x14ac:dyDescent="0.3"/>
    <row r="167" ht="14.4" customHeight="1" x14ac:dyDescent="0.3"/>
    <row r="168" ht="14.4" customHeight="1" x14ac:dyDescent="0.3"/>
    <row r="169" ht="14.4" customHeight="1" x14ac:dyDescent="0.3"/>
    <row r="170" ht="14.4" customHeight="1" x14ac:dyDescent="0.3"/>
    <row r="171" ht="14.4" customHeight="1" x14ac:dyDescent="0.3"/>
    <row r="172" ht="14.4" customHeight="1" x14ac:dyDescent="0.3"/>
    <row r="173" ht="14.4" customHeight="1" x14ac:dyDescent="0.3"/>
    <row r="174" ht="14.4" customHeight="1" x14ac:dyDescent="0.3"/>
    <row r="175" ht="14.4" customHeight="1" x14ac:dyDescent="0.3"/>
    <row r="176" ht="14.4" customHeight="1" x14ac:dyDescent="0.3"/>
    <row r="177" ht="14.4" customHeight="1" x14ac:dyDescent="0.3"/>
    <row r="178" ht="14.4" customHeight="1" x14ac:dyDescent="0.3"/>
    <row r="179" ht="14.4" customHeight="1" x14ac:dyDescent="0.3"/>
    <row r="180" ht="14.4" customHeight="1" x14ac:dyDescent="0.3"/>
    <row r="181" ht="14.4" customHeight="1" x14ac:dyDescent="0.3"/>
    <row r="182" ht="14.4" customHeight="1" x14ac:dyDescent="0.3"/>
    <row r="183" ht="14.4" customHeight="1" x14ac:dyDescent="0.3"/>
    <row r="184" ht="14.4" customHeight="1" x14ac:dyDescent="0.3"/>
    <row r="185" ht="14.4" customHeight="1" x14ac:dyDescent="0.3"/>
    <row r="186" ht="14.4" customHeight="1" x14ac:dyDescent="0.3"/>
    <row r="187" ht="14.4" customHeight="1" x14ac:dyDescent="0.3"/>
    <row r="188" ht="14.4" customHeight="1" x14ac:dyDescent="0.3"/>
    <row r="189" ht="14.4" customHeight="1" x14ac:dyDescent="0.3"/>
    <row r="190" ht="14.4" customHeight="1" x14ac:dyDescent="0.3"/>
    <row r="191" ht="14.4" customHeight="1" x14ac:dyDescent="0.3"/>
    <row r="192" ht="14.4" customHeight="1" x14ac:dyDescent="0.3"/>
    <row r="193" ht="14.4" customHeight="1" x14ac:dyDescent="0.3"/>
    <row r="194" ht="14.4" customHeight="1" x14ac:dyDescent="0.3"/>
    <row r="195" ht="14.4" customHeight="1" x14ac:dyDescent="0.3"/>
    <row r="196" ht="14.4" customHeight="1" x14ac:dyDescent="0.3"/>
    <row r="197" ht="14.4" customHeight="1" x14ac:dyDescent="0.3"/>
    <row r="198" ht="14.4" customHeight="1" x14ac:dyDescent="0.3"/>
    <row r="199" ht="14.4" customHeight="1" x14ac:dyDescent="0.3"/>
    <row r="200" ht="14.4" customHeight="1" x14ac:dyDescent="0.3"/>
    <row r="201" ht="14.4" customHeight="1" x14ac:dyDescent="0.3"/>
    <row r="202" ht="14.4" customHeight="1" x14ac:dyDescent="0.3"/>
    <row r="203" ht="14.4" customHeight="1" x14ac:dyDescent="0.3"/>
    <row r="204" ht="14.4" customHeight="1" x14ac:dyDescent="0.3"/>
    <row r="205" ht="14.4" customHeight="1" x14ac:dyDescent="0.3"/>
    <row r="206" ht="14.4" customHeight="1" x14ac:dyDescent="0.3"/>
    <row r="207" ht="14.4" customHeight="1" x14ac:dyDescent="0.3"/>
    <row r="208" ht="14.4" customHeight="1" x14ac:dyDescent="0.3"/>
    <row r="209" ht="14.4" customHeight="1" x14ac:dyDescent="0.3"/>
    <row r="210" ht="14.4" customHeight="1" x14ac:dyDescent="0.3"/>
    <row r="211" ht="14.4" customHeight="1" x14ac:dyDescent="0.3"/>
    <row r="212" ht="14.4" customHeight="1" x14ac:dyDescent="0.3"/>
    <row r="213" ht="14.4" customHeight="1" x14ac:dyDescent="0.3"/>
    <row r="214" ht="14.4" customHeight="1" x14ac:dyDescent="0.3"/>
    <row r="215" ht="14.4" customHeight="1" x14ac:dyDescent="0.3"/>
    <row r="216" ht="14.4" customHeight="1" x14ac:dyDescent="0.3"/>
    <row r="217" ht="14.4" customHeight="1" x14ac:dyDescent="0.3"/>
    <row r="218" ht="14.4" customHeight="1" x14ac:dyDescent="0.3"/>
    <row r="219" ht="14.4" customHeight="1" x14ac:dyDescent="0.3"/>
    <row r="220" ht="14.4" customHeight="1" x14ac:dyDescent="0.3"/>
    <row r="221" ht="14.4" customHeight="1" x14ac:dyDescent="0.3"/>
    <row r="222" ht="14.4" customHeight="1" x14ac:dyDescent="0.3"/>
    <row r="223" ht="14.4" customHeight="1" x14ac:dyDescent="0.3"/>
    <row r="224" ht="14.4" customHeight="1" x14ac:dyDescent="0.3"/>
    <row r="225" ht="14.4" customHeight="1" x14ac:dyDescent="0.3"/>
    <row r="226" ht="14.4" customHeight="1" x14ac:dyDescent="0.3"/>
    <row r="227" ht="14.4" customHeight="1" x14ac:dyDescent="0.3"/>
    <row r="228" ht="14.4" customHeight="1" x14ac:dyDescent="0.3"/>
    <row r="229" ht="14.4" customHeight="1" x14ac:dyDescent="0.3"/>
    <row r="230" ht="14.4" customHeight="1" x14ac:dyDescent="0.3"/>
    <row r="231" ht="14.4" customHeight="1" x14ac:dyDescent="0.3"/>
    <row r="232" ht="14.4" customHeight="1" x14ac:dyDescent="0.3"/>
    <row r="233" ht="14.4" customHeight="1" x14ac:dyDescent="0.3"/>
    <row r="234" ht="14.4" customHeight="1" x14ac:dyDescent="0.3"/>
    <row r="235" ht="14.4" customHeight="1" x14ac:dyDescent="0.3"/>
    <row r="236" ht="14.4" customHeight="1" x14ac:dyDescent="0.3"/>
    <row r="237" ht="14.4" customHeight="1" x14ac:dyDescent="0.3"/>
    <row r="238" ht="14.4" customHeight="1" x14ac:dyDescent="0.3"/>
    <row r="239" ht="14.4" customHeight="1" x14ac:dyDescent="0.3"/>
    <row r="240" ht="14.4" customHeight="1" x14ac:dyDescent="0.3"/>
    <row r="241" ht="14.4" customHeight="1" x14ac:dyDescent="0.3"/>
    <row r="242" ht="14.4" customHeight="1" x14ac:dyDescent="0.3"/>
    <row r="243" ht="14.4" customHeight="1" x14ac:dyDescent="0.3"/>
    <row r="244" ht="14.4" customHeight="1" x14ac:dyDescent="0.3"/>
    <row r="245" ht="14.4" customHeight="1" x14ac:dyDescent="0.3"/>
    <row r="246" ht="14.4" customHeight="1" x14ac:dyDescent="0.3"/>
    <row r="247" ht="14.4" customHeight="1" x14ac:dyDescent="0.3"/>
    <row r="248" ht="14.4" customHeight="1" x14ac:dyDescent="0.3"/>
    <row r="249" ht="14.4" customHeight="1" x14ac:dyDescent="0.3"/>
    <row r="250" ht="14.4" customHeight="1" x14ac:dyDescent="0.3"/>
    <row r="251" ht="14.4" customHeight="1" x14ac:dyDescent="0.3"/>
    <row r="252" ht="14.4" customHeight="1" x14ac:dyDescent="0.3"/>
    <row r="253" ht="14.4" customHeight="1" x14ac:dyDescent="0.3"/>
    <row r="254" ht="14.4" customHeight="1" x14ac:dyDescent="0.3"/>
    <row r="255" ht="14.4" customHeight="1" x14ac:dyDescent="0.3"/>
    <row r="256" ht="14.4" customHeight="1" x14ac:dyDescent="0.3"/>
    <row r="257" ht="14.4" customHeight="1" x14ac:dyDescent="0.3"/>
    <row r="258" ht="14.4" customHeight="1" x14ac:dyDescent="0.3"/>
    <row r="259" ht="14.4" customHeight="1" x14ac:dyDescent="0.3"/>
    <row r="260" ht="14.4" customHeight="1" x14ac:dyDescent="0.3"/>
    <row r="261" ht="14.4" customHeight="1" x14ac:dyDescent="0.3"/>
    <row r="262" ht="14.4" customHeight="1" x14ac:dyDescent="0.3"/>
    <row r="263" ht="14.4" customHeight="1" x14ac:dyDescent="0.3"/>
    <row r="264" ht="14.4" customHeight="1" x14ac:dyDescent="0.3"/>
    <row r="265" ht="14.4" customHeight="1" x14ac:dyDescent="0.3"/>
    <row r="266" ht="14.4" customHeight="1" x14ac:dyDescent="0.3"/>
    <row r="267" ht="14.4" customHeight="1" x14ac:dyDescent="0.3"/>
    <row r="268" ht="14.4" customHeight="1" x14ac:dyDescent="0.3"/>
    <row r="269" ht="14.4" customHeight="1" x14ac:dyDescent="0.3"/>
    <row r="270" ht="14.4" customHeight="1" x14ac:dyDescent="0.3"/>
    <row r="271" ht="14.4" customHeight="1" x14ac:dyDescent="0.3"/>
    <row r="272" ht="14.4" customHeight="1" x14ac:dyDescent="0.3"/>
    <row r="273" ht="14.4" customHeight="1" x14ac:dyDescent="0.3"/>
    <row r="274" ht="14.4" customHeight="1" x14ac:dyDescent="0.3"/>
    <row r="275" ht="14.4" customHeight="1" x14ac:dyDescent="0.3"/>
    <row r="276" ht="14.4" customHeight="1" x14ac:dyDescent="0.3"/>
    <row r="277" ht="14.4" customHeight="1" x14ac:dyDescent="0.3"/>
    <row r="278" ht="14.4" customHeight="1" x14ac:dyDescent="0.3"/>
    <row r="279" ht="14.4" customHeight="1" x14ac:dyDescent="0.3"/>
    <row r="280" ht="14.4" customHeight="1" x14ac:dyDescent="0.3"/>
    <row r="281" ht="14.4" customHeight="1" x14ac:dyDescent="0.3"/>
    <row r="282" ht="14.4" customHeight="1" x14ac:dyDescent="0.3"/>
    <row r="283" ht="14.4" customHeight="1" x14ac:dyDescent="0.3"/>
    <row r="284" ht="14.4" customHeight="1" x14ac:dyDescent="0.3"/>
    <row r="285" ht="14.4" customHeight="1" x14ac:dyDescent="0.3"/>
    <row r="286" ht="14.4" customHeight="1" x14ac:dyDescent="0.3"/>
    <row r="287" ht="14.4" customHeight="1" x14ac:dyDescent="0.3"/>
    <row r="288" ht="14.4" customHeight="1" x14ac:dyDescent="0.3"/>
    <row r="289" ht="14.4" customHeight="1" x14ac:dyDescent="0.3"/>
    <row r="290" ht="14.4" customHeight="1" x14ac:dyDescent="0.3"/>
    <row r="291" ht="14.4" customHeight="1" x14ac:dyDescent="0.3"/>
    <row r="292" ht="14.4" customHeight="1" x14ac:dyDescent="0.3"/>
    <row r="293" ht="14.4" customHeight="1" x14ac:dyDescent="0.3"/>
    <row r="294" ht="14.4" customHeight="1" x14ac:dyDescent="0.3"/>
    <row r="295" ht="14.4" customHeight="1" x14ac:dyDescent="0.3"/>
    <row r="296" ht="14.4" customHeight="1" x14ac:dyDescent="0.3"/>
    <row r="297" ht="14.4" customHeight="1" x14ac:dyDescent="0.3"/>
    <row r="298" ht="14.4" customHeight="1" x14ac:dyDescent="0.3"/>
    <row r="299" ht="14.4" customHeight="1" x14ac:dyDescent="0.3"/>
    <row r="300" ht="14.4" customHeight="1" x14ac:dyDescent="0.3"/>
    <row r="301" ht="14.4" customHeight="1" x14ac:dyDescent="0.3"/>
    <row r="302" ht="14.4" customHeight="1" x14ac:dyDescent="0.3"/>
    <row r="303" ht="14.4" customHeight="1" x14ac:dyDescent="0.3"/>
    <row r="304" ht="14.4" customHeight="1" x14ac:dyDescent="0.3"/>
    <row r="305" ht="14.4" customHeight="1" x14ac:dyDescent="0.3"/>
    <row r="306" ht="14.4" customHeight="1" x14ac:dyDescent="0.3"/>
    <row r="307" ht="14.4" customHeight="1" x14ac:dyDescent="0.3"/>
    <row r="308" ht="14.4" customHeight="1" x14ac:dyDescent="0.3"/>
    <row r="309" ht="14.4" customHeight="1" x14ac:dyDescent="0.3"/>
    <row r="310" ht="14.4" customHeight="1" x14ac:dyDescent="0.3"/>
    <row r="311" ht="14.4" customHeight="1" x14ac:dyDescent="0.3"/>
    <row r="312" ht="14.4" customHeight="1" x14ac:dyDescent="0.3"/>
    <row r="313" ht="14.4" customHeight="1" x14ac:dyDescent="0.3"/>
    <row r="314" ht="14.4" customHeight="1" x14ac:dyDescent="0.3"/>
    <row r="315" ht="14.4" customHeight="1" x14ac:dyDescent="0.3"/>
    <row r="316" ht="14.4" customHeight="1" x14ac:dyDescent="0.3"/>
    <row r="317" ht="14.4" customHeight="1" x14ac:dyDescent="0.3"/>
    <row r="318" ht="14.4" customHeight="1" x14ac:dyDescent="0.3"/>
    <row r="319" ht="14.4" customHeight="1" x14ac:dyDescent="0.3"/>
    <row r="320" ht="14.4" customHeight="1" x14ac:dyDescent="0.3"/>
    <row r="321" ht="14.4" customHeight="1" x14ac:dyDescent="0.3"/>
    <row r="322" ht="14.4" customHeight="1" x14ac:dyDescent="0.3"/>
    <row r="323" ht="14.4" customHeight="1" x14ac:dyDescent="0.3"/>
    <row r="324" ht="14.4" customHeight="1" x14ac:dyDescent="0.3"/>
    <row r="325" ht="14.4" customHeight="1" x14ac:dyDescent="0.3"/>
    <row r="326" ht="14.4" customHeight="1" x14ac:dyDescent="0.3"/>
    <row r="327" ht="14.4" customHeight="1" x14ac:dyDescent="0.3"/>
    <row r="328" ht="14.4" customHeight="1" x14ac:dyDescent="0.3"/>
    <row r="329" ht="14.4" customHeight="1" x14ac:dyDescent="0.3"/>
    <row r="330" ht="14.4" customHeight="1" x14ac:dyDescent="0.3"/>
    <row r="331" ht="14.4" customHeight="1" x14ac:dyDescent="0.3"/>
    <row r="332" ht="14.4" customHeight="1" x14ac:dyDescent="0.3"/>
    <row r="333" ht="14.4" customHeight="1" x14ac:dyDescent="0.3"/>
    <row r="334" ht="14.4" customHeight="1" x14ac:dyDescent="0.3"/>
    <row r="335" ht="14.4" customHeight="1" x14ac:dyDescent="0.3"/>
    <row r="336" ht="14.4" customHeight="1" x14ac:dyDescent="0.3"/>
    <row r="337" ht="14.4" customHeight="1" x14ac:dyDescent="0.3"/>
    <row r="338" ht="14.4" customHeight="1" x14ac:dyDescent="0.3"/>
    <row r="339" ht="14.4" customHeight="1" x14ac:dyDescent="0.3"/>
    <row r="340" ht="14.4" customHeight="1" x14ac:dyDescent="0.3"/>
    <row r="341" ht="14.4" customHeight="1" x14ac:dyDescent="0.3"/>
    <row r="342" ht="14.4" customHeight="1" x14ac:dyDescent="0.3"/>
    <row r="343" ht="14.4" customHeight="1" x14ac:dyDescent="0.3"/>
    <row r="344" ht="14.4" customHeight="1" x14ac:dyDescent="0.3"/>
    <row r="345" ht="14.4" customHeight="1" x14ac:dyDescent="0.3"/>
    <row r="346" ht="14.4" customHeight="1" x14ac:dyDescent="0.3"/>
    <row r="347" ht="14.4" customHeight="1" x14ac:dyDescent="0.3"/>
    <row r="348" ht="14.4" customHeight="1" x14ac:dyDescent="0.3"/>
    <row r="349" ht="14.4" customHeight="1" x14ac:dyDescent="0.3"/>
    <row r="350" ht="14.4" customHeight="1" x14ac:dyDescent="0.3"/>
    <row r="351" ht="14.4" customHeight="1" x14ac:dyDescent="0.3"/>
    <row r="352" ht="14.4" customHeight="1" x14ac:dyDescent="0.3"/>
    <row r="353" ht="14.4" customHeight="1" x14ac:dyDescent="0.3"/>
    <row r="354" ht="14.4" customHeight="1" x14ac:dyDescent="0.3"/>
    <row r="355" ht="14.4" customHeight="1" x14ac:dyDescent="0.3"/>
    <row r="356" ht="14.4" customHeight="1" x14ac:dyDescent="0.3"/>
    <row r="357" ht="14.4" customHeight="1" x14ac:dyDescent="0.3"/>
    <row r="358" ht="14.4" customHeight="1" x14ac:dyDescent="0.3"/>
    <row r="359" ht="14.4" customHeight="1" x14ac:dyDescent="0.3"/>
    <row r="360" ht="14.4" customHeight="1" x14ac:dyDescent="0.3"/>
    <row r="361" ht="14.4" customHeight="1" x14ac:dyDescent="0.3"/>
    <row r="362" ht="14.4" customHeight="1" x14ac:dyDescent="0.3"/>
    <row r="363" ht="14.4" customHeight="1" x14ac:dyDescent="0.3"/>
    <row r="364" ht="14.4" customHeight="1" x14ac:dyDescent="0.3"/>
    <row r="365" ht="14.4" customHeight="1" x14ac:dyDescent="0.3"/>
    <row r="366" ht="14.4" customHeight="1" x14ac:dyDescent="0.3"/>
    <row r="367" ht="14.4" customHeight="1" x14ac:dyDescent="0.3"/>
    <row r="368" ht="14.4" customHeight="1" x14ac:dyDescent="0.3"/>
    <row r="369" ht="14.4" customHeight="1" x14ac:dyDescent="0.3"/>
    <row r="370" ht="14.4" customHeight="1" x14ac:dyDescent="0.3"/>
    <row r="371" ht="14.4" customHeight="1" x14ac:dyDescent="0.3"/>
    <row r="372" ht="14.4" customHeight="1" x14ac:dyDescent="0.3"/>
    <row r="373" ht="14.4" customHeight="1" x14ac:dyDescent="0.3"/>
    <row r="374" ht="14.4" customHeight="1" x14ac:dyDescent="0.3"/>
    <row r="375" ht="14.4" customHeight="1" x14ac:dyDescent="0.3"/>
    <row r="376" ht="14.4" customHeight="1" x14ac:dyDescent="0.3"/>
    <row r="377" ht="14.4" customHeight="1" x14ac:dyDescent="0.3"/>
    <row r="378" ht="14.4" customHeight="1" x14ac:dyDescent="0.3"/>
    <row r="379" ht="14.4" customHeight="1" x14ac:dyDescent="0.3"/>
    <row r="380" ht="14.4" customHeight="1" x14ac:dyDescent="0.3"/>
    <row r="381" ht="14.4" customHeight="1" x14ac:dyDescent="0.3"/>
    <row r="382" ht="14.4" customHeight="1" x14ac:dyDescent="0.3"/>
    <row r="383" ht="14.4" customHeight="1" x14ac:dyDescent="0.3"/>
    <row r="384" ht="14.4" customHeight="1" x14ac:dyDescent="0.3"/>
    <row r="385" ht="14.4" customHeight="1" x14ac:dyDescent="0.3"/>
    <row r="386" ht="14.4" customHeight="1" x14ac:dyDescent="0.3"/>
    <row r="387" ht="14.4" customHeight="1" x14ac:dyDescent="0.3"/>
    <row r="388" ht="14.4" customHeight="1" x14ac:dyDescent="0.3"/>
    <row r="389" ht="14.4" customHeight="1" x14ac:dyDescent="0.3"/>
    <row r="390" ht="14.4" customHeight="1" x14ac:dyDescent="0.3"/>
    <row r="391" ht="14.4" customHeight="1" x14ac:dyDescent="0.3"/>
    <row r="392" ht="14.4" customHeight="1" x14ac:dyDescent="0.3"/>
    <row r="393" ht="14.4" customHeight="1" x14ac:dyDescent="0.3"/>
    <row r="394" ht="14.4" customHeight="1" x14ac:dyDescent="0.3"/>
    <row r="395" ht="14.4" customHeight="1" x14ac:dyDescent="0.3"/>
    <row r="396" ht="14.4" customHeight="1" x14ac:dyDescent="0.3"/>
    <row r="397" ht="14.4" customHeight="1" x14ac:dyDescent="0.3"/>
    <row r="398" ht="14.4" customHeight="1" x14ac:dyDescent="0.3"/>
    <row r="399" ht="14.4" customHeight="1" x14ac:dyDescent="0.3"/>
    <row r="400" ht="14.4" customHeight="1" x14ac:dyDescent="0.3"/>
    <row r="401" ht="14.4" customHeight="1" x14ac:dyDescent="0.3"/>
    <row r="402" ht="14.4" customHeight="1" x14ac:dyDescent="0.3"/>
    <row r="403" ht="14.4" customHeight="1" x14ac:dyDescent="0.3"/>
    <row r="404" ht="14.4" customHeight="1" x14ac:dyDescent="0.3"/>
    <row r="405" ht="14.4" customHeight="1" x14ac:dyDescent="0.3"/>
    <row r="406" ht="14.4" customHeight="1" x14ac:dyDescent="0.3"/>
    <row r="407" ht="14.4" customHeight="1" x14ac:dyDescent="0.3"/>
    <row r="408" ht="14.4" customHeight="1" x14ac:dyDescent="0.3"/>
    <row r="409" ht="14.4" customHeight="1" x14ac:dyDescent="0.3"/>
    <row r="410" ht="14.4" customHeight="1" x14ac:dyDescent="0.3"/>
    <row r="411" ht="14.4" customHeight="1" x14ac:dyDescent="0.3"/>
    <row r="412" ht="14.4" customHeight="1" x14ac:dyDescent="0.3"/>
    <row r="413" ht="14.4" customHeight="1" x14ac:dyDescent="0.3"/>
    <row r="414" ht="14.4" customHeight="1" x14ac:dyDescent="0.3"/>
    <row r="415" ht="14.4" customHeight="1" x14ac:dyDescent="0.3"/>
    <row r="416" ht="14.4" customHeight="1" x14ac:dyDescent="0.3"/>
    <row r="417" ht="14.4" customHeight="1" x14ac:dyDescent="0.3"/>
    <row r="418" ht="14.4" customHeight="1" x14ac:dyDescent="0.3"/>
    <row r="419" ht="14.4" customHeight="1" x14ac:dyDescent="0.3"/>
    <row r="420" ht="14.4" customHeight="1" x14ac:dyDescent="0.3"/>
    <row r="421" ht="14.4" customHeight="1" x14ac:dyDescent="0.3"/>
    <row r="422" ht="14.4" customHeight="1" x14ac:dyDescent="0.3"/>
    <row r="423" ht="14.4" customHeight="1" x14ac:dyDescent="0.3"/>
    <row r="424" ht="14.4" customHeight="1" x14ac:dyDescent="0.3"/>
    <row r="425" ht="14.4" customHeight="1" x14ac:dyDescent="0.3"/>
    <row r="426" ht="14.4" customHeight="1" x14ac:dyDescent="0.3"/>
    <row r="427" ht="14.4" customHeight="1" x14ac:dyDescent="0.3"/>
    <row r="428" ht="14.4" customHeight="1" x14ac:dyDescent="0.3"/>
    <row r="429" ht="14.4" customHeight="1" x14ac:dyDescent="0.3"/>
    <row r="430" ht="14.4" customHeight="1" x14ac:dyDescent="0.3"/>
    <row r="431" ht="14.4" customHeight="1" x14ac:dyDescent="0.3"/>
    <row r="432" ht="14.4" customHeight="1" x14ac:dyDescent="0.3"/>
    <row r="433" ht="14.4" customHeight="1" x14ac:dyDescent="0.3"/>
    <row r="434" ht="14.4" customHeight="1" x14ac:dyDescent="0.3"/>
    <row r="435" ht="14.4" customHeight="1" x14ac:dyDescent="0.3"/>
    <row r="436" ht="14.4" customHeight="1" x14ac:dyDescent="0.3"/>
    <row r="437" ht="14.4" customHeight="1" x14ac:dyDescent="0.3"/>
    <row r="438" ht="14.4" customHeight="1" x14ac:dyDescent="0.3"/>
    <row r="439" ht="14.4" customHeight="1" x14ac:dyDescent="0.3"/>
    <row r="440" ht="14.4" customHeight="1" x14ac:dyDescent="0.3"/>
    <row r="441" ht="14.4" customHeight="1" x14ac:dyDescent="0.3"/>
    <row r="442" ht="14.4" customHeight="1" x14ac:dyDescent="0.3"/>
    <row r="443" ht="14.4" customHeight="1" x14ac:dyDescent="0.3"/>
    <row r="444" ht="14.4" customHeight="1" x14ac:dyDescent="0.3"/>
    <row r="445" ht="14.4" customHeight="1" x14ac:dyDescent="0.3"/>
    <row r="446" ht="14.4" customHeight="1" x14ac:dyDescent="0.3"/>
    <row r="447" ht="14.4" customHeight="1" x14ac:dyDescent="0.3"/>
    <row r="448" ht="14.4" customHeight="1" x14ac:dyDescent="0.3"/>
    <row r="449" ht="14.4" customHeight="1" x14ac:dyDescent="0.3"/>
    <row r="450" ht="14.4" customHeight="1" x14ac:dyDescent="0.3"/>
    <row r="451" ht="14.4" customHeight="1" x14ac:dyDescent="0.3"/>
    <row r="452" ht="14.4" customHeight="1" x14ac:dyDescent="0.3"/>
    <row r="453" ht="14.4" customHeight="1" x14ac:dyDescent="0.3"/>
    <row r="454" ht="14.4" customHeight="1" x14ac:dyDescent="0.3"/>
    <row r="455" ht="14.4" customHeight="1" x14ac:dyDescent="0.3"/>
    <row r="456" ht="14.4" customHeight="1" x14ac:dyDescent="0.3"/>
    <row r="457" ht="14.4" customHeight="1" x14ac:dyDescent="0.3"/>
    <row r="458" ht="14.4" customHeight="1" x14ac:dyDescent="0.3"/>
    <row r="459" ht="14.4" customHeight="1" x14ac:dyDescent="0.3"/>
    <row r="460" ht="14.4" customHeight="1" x14ac:dyDescent="0.3"/>
    <row r="461" ht="14.4" customHeight="1" x14ac:dyDescent="0.3"/>
    <row r="462" ht="14.4" customHeight="1" x14ac:dyDescent="0.3"/>
    <row r="463" ht="14.4" customHeight="1" x14ac:dyDescent="0.3"/>
    <row r="464" ht="14.4" customHeight="1" x14ac:dyDescent="0.3"/>
    <row r="465" ht="14.4" customHeight="1" x14ac:dyDescent="0.3"/>
    <row r="466" ht="14.4" customHeight="1" x14ac:dyDescent="0.3"/>
    <row r="467" ht="14.4" customHeight="1" x14ac:dyDescent="0.3"/>
    <row r="468" ht="14.4" customHeight="1" x14ac:dyDescent="0.3"/>
    <row r="469" ht="14.4" customHeight="1" x14ac:dyDescent="0.3"/>
    <row r="470" ht="14.4" customHeight="1" x14ac:dyDescent="0.3"/>
    <row r="471" ht="14.4" customHeight="1" x14ac:dyDescent="0.3"/>
    <row r="472" ht="14.4" customHeight="1" x14ac:dyDescent="0.3"/>
    <row r="473" ht="14.4" customHeight="1" x14ac:dyDescent="0.3"/>
    <row r="474" ht="14.4" customHeight="1" x14ac:dyDescent="0.3"/>
    <row r="475" ht="14.4" customHeight="1" x14ac:dyDescent="0.3"/>
    <row r="476" ht="14.4" customHeight="1" x14ac:dyDescent="0.3"/>
    <row r="477" ht="14.4" customHeight="1" x14ac:dyDescent="0.3"/>
    <row r="478" ht="14.4" customHeight="1" x14ac:dyDescent="0.3"/>
    <row r="479" ht="14.4" customHeight="1" x14ac:dyDescent="0.3"/>
    <row r="480" ht="14.4" customHeight="1" x14ac:dyDescent="0.3"/>
    <row r="481" ht="14.4" customHeight="1" x14ac:dyDescent="0.3"/>
    <row r="482" ht="14.4" customHeight="1" x14ac:dyDescent="0.3"/>
    <row r="483" ht="14.4" customHeight="1" x14ac:dyDescent="0.3"/>
    <row r="484" ht="14.4" customHeight="1" x14ac:dyDescent="0.3"/>
    <row r="485" ht="14.4" customHeight="1" x14ac:dyDescent="0.3"/>
    <row r="486" ht="14.4" customHeight="1" x14ac:dyDescent="0.3"/>
    <row r="487" ht="14.4" customHeight="1" x14ac:dyDescent="0.3"/>
    <row r="488" ht="14.4" customHeight="1" x14ac:dyDescent="0.3"/>
    <row r="489" ht="14.4" customHeight="1" x14ac:dyDescent="0.3"/>
    <row r="490" ht="14.4" customHeight="1" x14ac:dyDescent="0.3"/>
    <row r="491" ht="14.4" customHeight="1" x14ac:dyDescent="0.3"/>
    <row r="492" ht="14.4" customHeight="1" x14ac:dyDescent="0.3"/>
    <row r="493" ht="14.4" customHeight="1" x14ac:dyDescent="0.3"/>
    <row r="494" ht="14.4" customHeight="1" x14ac:dyDescent="0.3"/>
    <row r="495" ht="14.4" customHeight="1" x14ac:dyDescent="0.3"/>
    <row r="496" ht="14.4" customHeight="1" x14ac:dyDescent="0.3"/>
    <row r="497" ht="14.4" customHeight="1" x14ac:dyDescent="0.3"/>
    <row r="498" ht="14.4" customHeight="1" x14ac:dyDescent="0.3"/>
    <row r="499" ht="14.4" customHeight="1" x14ac:dyDescent="0.3"/>
    <row r="500" ht="14.4" customHeight="1" x14ac:dyDescent="0.3"/>
    <row r="501" ht="14.4" customHeight="1" x14ac:dyDescent="0.3"/>
    <row r="502" ht="14.4" customHeight="1" x14ac:dyDescent="0.3"/>
    <row r="503" ht="14.4" customHeight="1" x14ac:dyDescent="0.3"/>
    <row r="504" ht="14.4" customHeight="1" x14ac:dyDescent="0.3"/>
    <row r="505" ht="14.4" customHeight="1" x14ac:dyDescent="0.3"/>
    <row r="506" ht="14.4" customHeight="1" x14ac:dyDescent="0.3"/>
    <row r="507" ht="14.4" customHeight="1" x14ac:dyDescent="0.3"/>
    <row r="508" ht="14.4" customHeight="1" x14ac:dyDescent="0.3"/>
    <row r="509" ht="14.4" customHeight="1" x14ac:dyDescent="0.3"/>
    <row r="510" ht="14.4" customHeight="1" x14ac:dyDescent="0.3"/>
    <row r="511" ht="14.4" customHeight="1" x14ac:dyDescent="0.3"/>
    <row r="512" ht="14.4" customHeight="1" x14ac:dyDescent="0.3"/>
    <row r="513" ht="14.4" customHeight="1" x14ac:dyDescent="0.3"/>
    <row r="514" ht="14.4" customHeight="1" x14ac:dyDescent="0.3"/>
    <row r="515" ht="14.4" customHeight="1" x14ac:dyDescent="0.3"/>
    <row r="516" ht="14.4" customHeight="1" x14ac:dyDescent="0.3"/>
    <row r="517" ht="14.4" customHeight="1" x14ac:dyDescent="0.3"/>
    <row r="518" ht="14.4" customHeight="1" x14ac:dyDescent="0.3"/>
    <row r="519" ht="14.4" customHeight="1" x14ac:dyDescent="0.3"/>
    <row r="520" ht="14.4" customHeight="1" x14ac:dyDescent="0.3"/>
    <row r="521" ht="14.4" customHeight="1" x14ac:dyDescent="0.3"/>
    <row r="522" ht="14.4" customHeight="1" x14ac:dyDescent="0.3"/>
    <row r="523" ht="14.4" customHeight="1" x14ac:dyDescent="0.3"/>
    <row r="524" ht="14.4" customHeight="1" x14ac:dyDescent="0.3"/>
    <row r="525" ht="14.4" customHeight="1" x14ac:dyDescent="0.3"/>
    <row r="526" ht="14.4" customHeight="1" x14ac:dyDescent="0.3"/>
    <row r="527" ht="14.4" customHeight="1" x14ac:dyDescent="0.3"/>
    <row r="528" ht="14.4" customHeight="1" x14ac:dyDescent="0.3"/>
    <row r="529" ht="14.4" customHeight="1" x14ac:dyDescent="0.3"/>
    <row r="530" ht="14.4" customHeight="1" x14ac:dyDescent="0.3"/>
    <row r="531" ht="14.4" customHeight="1" x14ac:dyDescent="0.3"/>
    <row r="532" ht="14.4" customHeight="1" x14ac:dyDescent="0.3"/>
    <row r="533" ht="14.4" customHeight="1" x14ac:dyDescent="0.3"/>
    <row r="534" ht="14.4" customHeight="1" x14ac:dyDescent="0.3"/>
    <row r="535" ht="14.4" customHeight="1" x14ac:dyDescent="0.3"/>
    <row r="536" ht="14.4" customHeight="1" x14ac:dyDescent="0.3"/>
    <row r="537" ht="14.4" customHeight="1" x14ac:dyDescent="0.3"/>
    <row r="538" ht="14.4" customHeight="1" x14ac:dyDescent="0.3"/>
    <row r="539" ht="14.4" customHeight="1" x14ac:dyDescent="0.3"/>
    <row r="540" ht="14.4" customHeight="1" x14ac:dyDescent="0.3"/>
    <row r="541" ht="14.4" customHeight="1" x14ac:dyDescent="0.3"/>
    <row r="542" ht="14.4" customHeight="1" x14ac:dyDescent="0.3"/>
    <row r="543" ht="14.4" customHeight="1" x14ac:dyDescent="0.3"/>
    <row r="544" ht="14.4" customHeight="1" x14ac:dyDescent="0.3"/>
    <row r="1048488" ht="14.4" x14ac:dyDescent="0.3"/>
  </sheetData>
  <sheetProtection autoFilter="0"/>
  <mergeCells count="1">
    <mergeCell ref="C1:E1"/>
  </mergeCells>
  <pageMargins left="0.19685039370078741" right="0.11811023622047245" top="0.19685039370078741" bottom="0.19685039370078741" header="0.31496062992125984" footer="0.31496062992125984"/>
  <pageSetup paperSize="9" scale="48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629A-CA49-4B7D-A0CD-1012C6ADFA02}">
  <dimension ref="E3:G67"/>
  <sheetViews>
    <sheetView workbookViewId="0">
      <selection activeCell="F4" sqref="F4"/>
    </sheetView>
  </sheetViews>
  <sheetFormatPr defaultRowHeight="14.4" x14ac:dyDescent="0.3"/>
  <cols>
    <col min="5" max="5" width="40.5546875" customWidth="1"/>
    <col min="6" max="6" width="19.5546875" customWidth="1"/>
    <col min="7" max="7" width="21.44140625" customWidth="1"/>
  </cols>
  <sheetData>
    <row r="3" spans="5:7" ht="15" thickBot="1" x14ac:dyDescent="0.35"/>
    <row r="4" spans="5:7" ht="27" thickBot="1" x14ac:dyDescent="0.35">
      <c r="E4" s="88" t="s">
        <v>315</v>
      </c>
      <c r="F4" s="88" t="s">
        <v>316</v>
      </c>
      <c r="G4" s="88" t="s">
        <v>317</v>
      </c>
    </row>
    <row r="5" spans="5:7" x14ac:dyDescent="0.3">
      <c r="E5" s="89" t="s">
        <v>136</v>
      </c>
      <c r="F5" s="90"/>
      <c r="G5" s="91"/>
    </row>
    <row r="6" spans="5:7" x14ac:dyDescent="0.3">
      <c r="E6" s="92" t="s">
        <v>194</v>
      </c>
      <c r="F6" s="93"/>
      <c r="G6" s="94"/>
    </row>
    <row r="7" spans="5:7" x14ac:dyDescent="0.3">
      <c r="E7" s="92" t="s">
        <v>307</v>
      </c>
      <c r="F7" s="93"/>
      <c r="G7" s="94"/>
    </row>
    <row r="8" spans="5:7" x14ac:dyDescent="0.3">
      <c r="E8" s="92" t="s">
        <v>173</v>
      </c>
      <c r="F8" s="93"/>
      <c r="G8" s="94"/>
    </row>
    <row r="9" spans="5:7" x14ac:dyDescent="0.3">
      <c r="E9" s="92" t="s">
        <v>137</v>
      </c>
      <c r="F9" s="93"/>
      <c r="G9" s="94"/>
    </row>
    <row r="10" spans="5:7" x14ac:dyDescent="0.3">
      <c r="E10" s="92" t="s">
        <v>138</v>
      </c>
      <c r="F10" s="93"/>
      <c r="G10" s="94"/>
    </row>
    <row r="11" spans="5:7" x14ac:dyDescent="0.3">
      <c r="E11" s="92" t="s">
        <v>48</v>
      </c>
      <c r="F11" s="93"/>
      <c r="G11" s="94"/>
    </row>
    <row r="12" spans="5:7" x14ac:dyDescent="0.3">
      <c r="E12" s="92" t="s">
        <v>199</v>
      </c>
      <c r="F12" s="93"/>
      <c r="G12" s="94"/>
    </row>
    <row r="13" spans="5:7" x14ac:dyDescent="0.3">
      <c r="E13" s="92" t="s">
        <v>222</v>
      </c>
      <c r="F13" s="93"/>
      <c r="G13" s="94"/>
    </row>
    <row r="14" spans="5:7" x14ac:dyDescent="0.3">
      <c r="E14" s="92" t="s">
        <v>308</v>
      </c>
      <c r="F14" s="93"/>
      <c r="G14" s="94"/>
    </row>
    <row r="15" spans="5:7" x14ac:dyDescent="0.3">
      <c r="E15" s="92" t="s">
        <v>309</v>
      </c>
      <c r="F15" s="93"/>
      <c r="G15" s="94"/>
    </row>
    <row r="16" spans="5:7" x14ac:dyDescent="0.3">
      <c r="E16" s="92" t="s">
        <v>202</v>
      </c>
      <c r="F16" s="93"/>
      <c r="G16" s="94"/>
    </row>
    <row r="17" spans="5:7" x14ac:dyDescent="0.3">
      <c r="E17" s="92" t="s">
        <v>269</v>
      </c>
      <c r="F17" s="93"/>
      <c r="G17" s="94"/>
    </row>
    <row r="18" spans="5:7" x14ac:dyDescent="0.3">
      <c r="E18" s="92" t="s">
        <v>203</v>
      </c>
      <c r="F18" s="93"/>
      <c r="G18" s="94"/>
    </row>
    <row r="19" spans="5:7" x14ac:dyDescent="0.3">
      <c r="E19" s="92" t="s">
        <v>49</v>
      </c>
      <c r="F19" s="93"/>
      <c r="G19" s="94"/>
    </row>
    <row r="20" spans="5:7" x14ac:dyDescent="0.3">
      <c r="E20" s="92" t="s">
        <v>140</v>
      </c>
      <c r="F20" s="93"/>
      <c r="G20" s="94"/>
    </row>
    <row r="21" spans="5:7" x14ac:dyDescent="0.3">
      <c r="E21" s="92" t="s">
        <v>38</v>
      </c>
      <c r="F21" s="93"/>
      <c r="G21" s="94"/>
    </row>
    <row r="22" spans="5:7" x14ac:dyDescent="0.3">
      <c r="E22" s="92" t="s">
        <v>294</v>
      </c>
      <c r="F22" s="93"/>
      <c r="G22" s="94"/>
    </row>
    <row r="23" spans="5:7" x14ac:dyDescent="0.3">
      <c r="E23" s="92" t="s">
        <v>50</v>
      </c>
      <c r="F23" s="93"/>
      <c r="G23" s="94"/>
    </row>
    <row r="24" spans="5:7" x14ac:dyDescent="0.3">
      <c r="E24" s="92" t="s">
        <v>310</v>
      </c>
      <c r="F24" s="93"/>
      <c r="G24" s="94"/>
    </row>
    <row r="25" spans="5:7" x14ac:dyDescent="0.3">
      <c r="E25" s="92" t="s">
        <v>195</v>
      </c>
      <c r="F25" s="93"/>
      <c r="G25" s="94"/>
    </row>
    <row r="26" spans="5:7" x14ac:dyDescent="0.3">
      <c r="E26" s="92" t="s">
        <v>76</v>
      </c>
      <c r="F26" s="93"/>
      <c r="G26" s="94"/>
    </row>
    <row r="27" spans="5:7" x14ac:dyDescent="0.3">
      <c r="E27" s="92" t="s">
        <v>51</v>
      </c>
      <c r="F27" s="93"/>
      <c r="G27" s="94"/>
    </row>
    <row r="28" spans="5:7" x14ac:dyDescent="0.3">
      <c r="E28" s="92" t="s">
        <v>131</v>
      </c>
      <c r="F28" s="93"/>
      <c r="G28" s="94"/>
    </row>
    <row r="29" spans="5:7" x14ac:dyDescent="0.3">
      <c r="E29" s="92" t="s">
        <v>4</v>
      </c>
      <c r="F29" s="93"/>
      <c r="G29" s="94"/>
    </row>
    <row r="30" spans="5:7" x14ac:dyDescent="0.3">
      <c r="E30" s="92" t="s">
        <v>197</v>
      </c>
      <c r="F30" s="93"/>
      <c r="G30" s="94"/>
    </row>
    <row r="31" spans="5:7" x14ac:dyDescent="0.3">
      <c r="E31" s="92" t="s">
        <v>295</v>
      </c>
      <c r="F31" s="93"/>
      <c r="G31" s="94"/>
    </row>
    <row r="32" spans="5:7" x14ac:dyDescent="0.3">
      <c r="E32" s="92" t="s">
        <v>52</v>
      </c>
      <c r="F32" s="93"/>
      <c r="G32" s="94"/>
    </row>
    <row r="33" spans="5:7" x14ac:dyDescent="0.3">
      <c r="E33" s="92" t="s">
        <v>311</v>
      </c>
      <c r="F33" s="93"/>
      <c r="G33" s="94"/>
    </row>
    <row r="34" spans="5:7" x14ac:dyDescent="0.3">
      <c r="E34" s="92" t="s">
        <v>142</v>
      </c>
      <c r="F34" s="93"/>
      <c r="G34" s="94"/>
    </row>
    <row r="35" spans="5:7" x14ac:dyDescent="0.3">
      <c r="E35" s="92" t="s">
        <v>53</v>
      </c>
      <c r="F35" s="93"/>
      <c r="G35" s="94"/>
    </row>
    <row r="36" spans="5:7" x14ac:dyDescent="0.3">
      <c r="E36" s="92" t="s">
        <v>54</v>
      </c>
      <c r="F36" s="93"/>
      <c r="G36" s="94"/>
    </row>
    <row r="37" spans="5:7" x14ac:dyDescent="0.3">
      <c r="E37" s="92" t="s">
        <v>196</v>
      </c>
      <c r="F37" s="93"/>
      <c r="G37" s="94"/>
    </row>
    <row r="38" spans="5:7" x14ac:dyDescent="0.3">
      <c r="E38" s="92" t="s">
        <v>55</v>
      </c>
      <c r="F38" s="93"/>
      <c r="G38" s="94"/>
    </row>
    <row r="39" spans="5:7" x14ac:dyDescent="0.3">
      <c r="E39" s="92" t="s">
        <v>132</v>
      </c>
      <c r="F39" s="93"/>
      <c r="G39" s="94"/>
    </row>
    <row r="40" spans="5:7" x14ac:dyDescent="0.3">
      <c r="E40" s="92" t="s">
        <v>56</v>
      </c>
      <c r="F40" s="93"/>
      <c r="G40" s="94"/>
    </row>
    <row r="41" spans="5:7" x14ac:dyDescent="0.3">
      <c r="E41" s="92" t="s">
        <v>40</v>
      </c>
      <c r="F41" s="93"/>
      <c r="G41" s="94"/>
    </row>
    <row r="42" spans="5:7" x14ac:dyDescent="0.3">
      <c r="E42" s="92" t="s">
        <v>268</v>
      </c>
      <c r="F42" s="93"/>
      <c r="G42" s="94"/>
    </row>
    <row r="43" spans="5:7" x14ac:dyDescent="0.3">
      <c r="E43" s="92" t="s">
        <v>133</v>
      </c>
      <c r="F43" s="93"/>
      <c r="G43" s="94"/>
    </row>
    <row r="44" spans="5:7" x14ac:dyDescent="0.3">
      <c r="E44" s="92" t="s">
        <v>41</v>
      </c>
      <c r="F44" s="93"/>
      <c r="G44" s="94"/>
    </row>
    <row r="45" spans="5:7" x14ac:dyDescent="0.3">
      <c r="E45" s="92" t="s">
        <v>42</v>
      </c>
      <c r="F45" s="93"/>
      <c r="G45" s="94"/>
    </row>
    <row r="46" spans="5:7" x14ac:dyDescent="0.3">
      <c r="E46" s="92" t="s">
        <v>312</v>
      </c>
      <c r="F46" s="93"/>
      <c r="G46" s="94"/>
    </row>
    <row r="47" spans="5:7" x14ac:dyDescent="0.3">
      <c r="E47" s="92" t="s">
        <v>313</v>
      </c>
      <c r="F47" s="93"/>
      <c r="G47" s="94"/>
    </row>
    <row r="48" spans="5:7" x14ac:dyDescent="0.3">
      <c r="E48" s="92" t="s">
        <v>57</v>
      </c>
      <c r="F48" s="93"/>
      <c r="G48" s="94"/>
    </row>
    <row r="49" spans="5:7" x14ac:dyDescent="0.3">
      <c r="E49" s="92" t="s">
        <v>58</v>
      </c>
      <c r="F49" s="93"/>
      <c r="G49" s="94"/>
    </row>
    <row r="50" spans="5:7" x14ac:dyDescent="0.3">
      <c r="E50" s="92" t="s">
        <v>59</v>
      </c>
      <c r="F50" s="93"/>
      <c r="G50" s="94"/>
    </row>
    <row r="51" spans="5:7" x14ac:dyDescent="0.3">
      <c r="E51" s="92" t="s">
        <v>43</v>
      </c>
      <c r="F51" s="93"/>
      <c r="G51" s="94"/>
    </row>
    <row r="52" spans="5:7" x14ac:dyDescent="0.3">
      <c r="E52" s="92" t="s">
        <v>134</v>
      </c>
      <c r="F52" s="93"/>
      <c r="G52" s="94"/>
    </row>
    <row r="53" spans="5:7" x14ac:dyDescent="0.3">
      <c r="E53" s="92" t="s">
        <v>44</v>
      </c>
      <c r="F53" s="93"/>
      <c r="G53" s="94"/>
    </row>
    <row r="54" spans="5:7" x14ac:dyDescent="0.3">
      <c r="E54" s="92" t="s">
        <v>143</v>
      </c>
      <c r="F54" s="93"/>
      <c r="G54" s="94"/>
    </row>
    <row r="55" spans="5:7" x14ac:dyDescent="0.3">
      <c r="E55" s="92" t="s">
        <v>144</v>
      </c>
      <c r="F55" s="93"/>
      <c r="G55" s="94"/>
    </row>
    <row r="56" spans="5:7" x14ac:dyDescent="0.3">
      <c r="E56" s="92" t="s">
        <v>46</v>
      </c>
      <c r="F56" s="93"/>
      <c r="G56" s="94"/>
    </row>
    <row r="57" spans="5:7" x14ac:dyDescent="0.3">
      <c r="E57" s="92" t="s">
        <v>77</v>
      </c>
      <c r="F57" s="93"/>
      <c r="G57" s="94"/>
    </row>
    <row r="58" spans="5:7" x14ac:dyDescent="0.3">
      <c r="E58" s="92" t="s">
        <v>174</v>
      </c>
      <c r="F58" s="93"/>
      <c r="G58" s="94"/>
    </row>
    <row r="59" spans="5:7" x14ac:dyDescent="0.3">
      <c r="E59" s="92" t="s">
        <v>296</v>
      </c>
      <c r="F59" s="93"/>
      <c r="G59" s="94"/>
    </row>
    <row r="60" spans="5:7" x14ac:dyDescent="0.3">
      <c r="E60" s="92" t="s">
        <v>47</v>
      </c>
      <c r="F60" s="93"/>
      <c r="G60" s="94"/>
    </row>
    <row r="61" spans="5:7" x14ac:dyDescent="0.3">
      <c r="E61" s="92" t="s">
        <v>147</v>
      </c>
      <c r="F61" s="93"/>
      <c r="G61" s="94"/>
    </row>
    <row r="62" spans="5:7" x14ac:dyDescent="0.3">
      <c r="E62" s="92" t="s">
        <v>60</v>
      </c>
      <c r="F62" s="93"/>
      <c r="G62" s="94"/>
    </row>
    <row r="63" spans="5:7" x14ac:dyDescent="0.3">
      <c r="E63" s="92" t="s">
        <v>61</v>
      </c>
      <c r="F63" s="93"/>
      <c r="G63" s="94"/>
    </row>
    <row r="64" spans="5:7" x14ac:dyDescent="0.3">
      <c r="E64" s="92" t="s">
        <v>145</v>
      </c>
      <c r="F64" s="93"/>
      <c r="G64" s="94"/>
    </row>
    <row r="65" spans="5:7" x14ac:dyDescent="0.3">
      <c r="E65" s="92" t="s">
        <v>297</v>
      </c>
      <c r="F65" s="93"/>
      <c r="G65" s="94"/>
    </row>
    <row r="66" spans="5:7" x14ac:dyDescent="0.3">
      <c r="E66" s="92" t="s">
        <v>146</v>
      </c>
      <c r="F66" s="93"/>
      <c r="G66" s="94"/>
    </row>
    <row r="67" spans="5:7" ht="15" thickBot="1" x14ac:dyDescent="0.35">
      <c r="E67" s="95" t="s">
        <v>78</v>
      </c>
      <c r="F67" s="96"/>
      <c r="G67" s="9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44F5C-E47B-4EF2-A0AA-C9574B0F365F}">
  <sheetPr>
    <tabColor theme="1"/>
  </sheetPr>
  <dimension ref="A1:N36"/>
  <sheetViews>
    <sheetView showGridLines="0" workbookViewId="0">
      <selection activeCell="A34" sqref="A34"/>
    </sheetView>
  </sheetViews>
  <sheetFormatPr defaultRowHeight="14.4" x14ac:dyDescent="0.3"/>
  <cols>
    <col min="1" max="1" width="35.5546875" customWidth="1"/>
    <col min="2" max="2" width="12.88671875" bestFit="1" customWidth="1"/>
    <col min="3" max="3" width="2.5546875" customWidth="1"/>
    <col min="4" max="4" width="10.109375" bestFit="1" customWidth="1"/>
    <col min="5" max="5" width="32.5546875" bestFit="1" customWidth="1"/>
    <col min="6" max="6" width="2.44140625" customWidth="1"/>
    <col min="7" max="7" width="10.109375" bestFit="1" customWidth="1"/>
    <col min="8" max="8" width="32.5546875" bestFit="1" customWidth="1"/>
    <col min="9" max="9" width="2.5546875" customWidth="1"/>
    <col min="10" max="10" width="14" customWidth="1"/>
    <col min="11" max="14" width="10.5546875" customWidth="1"/>
    <col min="15" max="15" width="9.88671875" customWidth="1"/>
  </cols>
  <sheetData>
    <row r="1" spans="1:14" ht="28.8" x14ac:dyDescent="0.3">
      <c r="A1" s="36" t="s">
        <v>259</v>
      </c>
      <c r="B1" s="36" t="s">
        <v>265</v>
      </c>
      <c r="D1" t="s">
        <v>326</v>
      </c>
      <c r="E1" t="s">
        <v>327</v>
      </c>
      <c r="G1" t="s">
        <v>326</v>
      </c>
      <c r="H1" t="s">
        <v>328</v>
      </c>
      <c r="J1" s="81" t="s">
        <v>15</v>
      </c>
      <c r="K1" s="81" t="s">
        <v>9</v>
      </c>
      <c r="L1" s="81" t="s">
        <v>8</v>
      </c>
      <c r="M1" s="82" t="s">
        <v>292</v>
      </c>
      <c r="N1" s="82" t="s">
        <v>293</v>
      </c>
    </row>
    <row r="2" spans="1:14" x14ac:dyDescent="0.3">
      <c r="A2" s="156" t="s">
        <v>379</v>
      </c>
      <c r="B2" s="157">
        <v>1726.63</v>
      </c>
      <c r="D2" s="104">
        <v>45658</v>
      </c>
      <c r="E2" t="s">
        <v>329</v>
      </c>
      <c r="G2" s="104">
        <v>45658</v>
      </c>
      <c r="H2" t="s">
        <v>329</v>
      </c>
      <c r="J2" t="s">
        <v>31</v>
      </c>
      <c r="K2" s="75">
        <f>COUNTIFS(Tb_EFETIVO[TOMADOR],AUX!J2,Tb_EFETIVO[SITUAÇÃO],"ATIVO",Tb_EFETIVO[TIPO],AUX!K1)</f>
        <v>9</v>
      </c>
      <c r="L2" s="75">
        <f>COUNTIFS(Tb_EFETIVO[TOMADOR],AUX!J2,Tb_EFETIVO[SITUAÇÃO],"ATIVO",Tb_EFETIVO[TIPO],AUX!L1)</f>
        <v>9</v>
      </c>
      <c r="M2" s="75">
        <f>COUNTIFS(tb_SUB[TOMADOR],AUX!J2,tb_SUB[DEMISSÃO],"ATIVO")</f>
        <v>0</v>
      </c>
      <c r="N2" s="75">
        <f>SUM(K2:M2)</f>
        <v>18</v>
      </c>
    </row>
    <row r="3" spans="1:14" x14ac:dyDescent="0.3">
      <c r="A3" s="156" t="s">
        <v>380</v>
      </c>
      <c r="B3" s="157">
        <v>1726.63</v>
      </c>
      <c r="D3" s="104">
        <v>45719</v>
      </c>
      <c r="E3" t="s">
        <v>330</v>
      </c>
      <c r="G3" s="104">
        <v>45719</v>
      </c>
      <c r="H3" t="s">
        <v>330</v>
      </c>
      <c r="J3" t="s">
        <v>30</v>
      </c>
      <c r="K3" s="75">
        <f>COUNTIFS(Tb_EFETIVO[TOMADOR],AUX!J3,Tb_EFETIVO[SITUAÇÃO],"ATIVO",Tb_EFETIVO[TIPO],AUX!K1)</f>
        <v>46</v>
      </c>
      <c r="L3" s="75">
        <f>COUNTIFS(Tb_EFETIVO[TOMADOR],AUX!J3,Tb_EFETIVO[SITUAÇÃO],"ATIVO",Tb_EFETIVO[TIPO],AUX!L1)</f>
        <v>16</v>
      </c>
      <c r="M3" s="75">
        <f>COUNTIFS(tb_SUB[TOMADOR],AUX!J3,tb_SUB[DEMISSÃO],"ATIVO")</f>
        <v>0</v>
      </c>
      <c r="N3" s="75">
        <f>SUM(K3:M3)</f>
        <v>62</v>
      </c>
    </row>
    <row r="4" spans="1:14" ht="15.6" x14ac:dyDescent="0.3">
      <c r="A4" s="34" t="s">
        <v>124</v>
      </c>
      <c r="B4" s="35">
        <v>1726.63</v>
      </c>
      <c r="D4" s="104">
        <v>45720</v>
      </c>
      <c r="E4" t="s">
        <v>330</v>
      </c>
      <c r="G4" s="104">
        <v>45720</v>
      </c>
      <c r="H4" t="s">
        <v>330</v>
      </c>
      <c r="K4" s="75"/>
      <c r="L4" s="75"/>
      <c r="M4" s="75"/>
      <c r="N4" s="83">
        <f>SUM(N2:N3)</f>
        <v>80</v>
      </c>
    </row>
    <row r="5" spans="1:14" x14ac:dyDescent="0.3">
      <c r="A5" s="156" t="s">
        <v>381</v>
      </c>
      <c r="B5" s="157">
        <v>1726.63</v>
      </c>
      <c r="D5" s="104">
        <v>45721</v>
      </c>
      <c r="E5" t="s">
        <v>331</v>
      </c>
      <c r="G5" s="104">
        <v>45721</v>
      </c>
      <c r="H5" t="s">
        <v>331</v>
      </c>
      <c r="J5" s="170" t="s">
        <v>349</v>
      </c>
      <c r="K5" s="170"/>
      <c r="L5" s="170"/>
    </row>
    <row r="6" spans="1:14" x14ac:dyDescent="0.3">
      <c r="A6" s="34" t="s">
        <v>74</v>
      </c>
      <c r="B6" s="35">
        <v>3000</v>
      </c>
      <c r="D6" s="104">
        <v>45765</v>
      </c>
      <c r="E6" t="s">
        <v>332</v>
      </c>
      <c r="G6" s="104">
        <v>45765</v>
      </c>
      <c r="H6" t="s">
        <v>332</v>
      </c>
      <c r="J6" s="105" t="s">
        <v>347</v>
      </c>
      <c r="K6" s="105" t="s">
        <v>30</v>
      </c>
      <c r="L6" s="105" t="s">
        <v>31</v>
      </c>
    </row>
    <row r="7" spans="1:14" x14ac:dyDescent="0.3">
      <c r="A7" s="34" t="s">
        <v>5</v>
      </c>
      <c r="B7" s="35">
        <v>3800</v>
      </c>
      <c r="D7" s="104">
        <v>45768</v>
      </c>
      <c r="E7" t="s">
        <v>333</v>
      </c>
      <c r="G7" s="104">
        <v>45768</v>
      </c>
      <c r="H7" t="s">
        <v>333</v>
      </c>
      <c r="J7" s="106" t="s">
        <v>348</v>
      </c>
      <c r="K7" s="107">
        <f>NETWORKDAYS(DATE(2026,2,1),DATE(2026,2,28),Tb_feriadoUTGC[DIA])</f>
        <v>17</v>
      </c>
      <c r="L7" s="107">
        <f>NETWORKDAYS(DATE(2026,2,1),DATE(2026,2,28),Tb_feriadoEDIVIT[DIA])</f>
        <v>17</v>
      </c>
    </row>
    <row r="8" spans="1:14" x14ac:dyDescent="0.3">
      <c r="A8" s="34" t="s">
        <v>127</v>
      </c>
      <c r="B8" s="35">
        <v>4402.45</v>
      </c>
      <c r="D8" s="104">
        <v>45775</v>
      </c>
      <c r="E8" t="s">
        <v>334</v>
      </c>
      <c r="G8" s="104">
        <v>45775</v>
      </c>
      <c r="H8" t="s">
        <v>334</v>
      </c>
    </row>
    <row r="9" spans="1:14" x14ac:dyDescent="0.3">
      <c r="A9" s="34" t="s">
        <v>128</v>
      </c>
      <c r="B9" s="35">
        <v>4622.57</v>
      </c>
      <c r="D9" s="104">
        <v>45778</v>
      </c>
      <c r="E9" t="s">
        <v>335</v>
      </c>
      <c r="G9" s="104">
        <v>45778</v>
      </c>
      <c r="H9" t="s">
        <v>335</v>
      </c>
    </row>
    <row r="10" spans="1:14" x14ac:dyDescent="0.3">
      <c r="A10" s="34" t="s">
        <v>69</v>
      </c>
      <c r="B10" s="35">
        <v>4425.3</v>
      </c>
      <c r="D10" s="104">
        <v>45827</v>
      </c>
      <c r="E10" t="s">
        <v>336</v>
      </c>
      <c r="G10" s="104">
        <v>45827</v>
      </c>
      <c r="H10" t="s">
        <v>336</v>
      </c>
    </row>
    <row r="11" spans="1:14" x14ac:dyDescent="0.3">
      <c r="A11" s="34" t="s">
        <v>79</v>
      </c>
      <c r="B11" s="35">
        <v>8000</v>
      </c>
      <c r="D11" s="104">
        <v>45891</v>
      </c>
      <c r="E11" t="s">
        <v>337</v>
      </c>
      <c r="G11" s="104">
        <v>45907</v>
      </c>
      <c r="H11" t="s">
        <v>338</v>
      </c>
    </row>
    <row r="12" spans="1:14" x14ac:dyDescent="0.3">
      <c r="A12" s="34" t="s">
        <v>27</v>
      </c>
      <c r="B12" s="35">
        <v>14000</v>
      </c>
      <c r="D12" s="104">
        <v>45907</v>
      </c>
      <c r="E12" t="s">
        <v>338</v>
      </c>
      <c r="G12" s="104">
        <v>45908</v>
      </c>
      <c r="H12" t="s">
        <v>339</v>
      </c>
    </row>
    <row r="13" spans="1:14" x14ac:dyDescent="0.3">
      <c r="A13" s="34" t="s">
        <v>72</v>
      </c>
      <c r="B13" s="35">
        <v>12000</v>
      </c>
      <c r="D13" s="104">
        <v>45936</v>
      </c>
      <c r="E13" t="s">
        <v>340</v>
      </c>
      <c r="G13" s="104">
        <v>45936</v>
      </c>
      <c r="H13" t="s">
        <v>341</v>
      </c>
    </row>
    <row r="14" spans="1:14" x14ac:dyDescent="0.3">
      <c r="A14" s="34" t="s">
        <v>125</v>
      </c>
      <c r="B14" s="35">
        <v>3328.48</v>
      </c>
      <c r="D14" s="104">
        <v>45942</v>
      </c>
      <c r="E14" t="s">
        <v>340</v>
      </c>
      <c r="G14" s="104">
        <v>45942</v>
      </c>
      <c r="H14" t="s">
        <v>340</v>
      </c>
    </row>
    <row r="15" spans="1:14" x14ac:dyDescent="0.3">
      <c r="A15" s="34" t="s">
        <v>6</v>
      </c>
      <c r="B15" s="35">
        <v>6525.36</v>
      </c>
      <c r="D15" s="104">
        <v>45963</v>
      </c>
      <c r="E15" t="s">
        <v>342</v>
      </c>
      <c r="G15" s="104">
        <v>45963</v>
      </c>
      <c r="H15" t="s">
        <v>342</v>
      </c>
    </row>
    <row r="16" spans="1:14" x14ac:dyDescent="0.3">
      <c r="A16" s="34" t="s">
        <v>190</v>
      </c>
      <c r="B16" s="35">
        <v>6525.36</v>
      </c>
      <c r="D16" s="104">
        <v>45976</v>
      </c>
      <c r="E16" t="s">
        <v>343</v>
      </c>
      <c r="G16" s="104">
        <v>45976</v>
      </c>
      <c r="H16" t="s">
        <v>343</v>
      </c>
    </row>
    <row r="17" spans="1:8" x14ac:dyDescent="0.3">
      <c r="A17" s="34" t="s">
        <v>71</v>
      </c>
      <c r="B17" s="35">
        <v>6525.36</v>
      </c>
      <c r="D17" s="104">
        <v>45981</v>
      </c>
      <c r="E17" t="s">
        <v>344</v>
      </c>
      <c r="G17" s="104">
        <v>45981</v>
      </c>
      <c r="H17" t="s">
        <v>344</v>
      </c>
    </row>
    <row r="18" spans="1:8" x14ac:dyDescent="0.3">
      <c r="A18" s="34" t="s">
        <v>75</v>
      </c>
      <c r="B18" s="35">
        <v>12000</v>
      </c>
      <c r="D18" s="104">
        <v>45999</v>
      </c>
      <c r="E18" t="s">
        <v>345</v>
      </c>
      <c r="G18" s="104">
        <v>46016</v>
      </c>
      <c r="H18" t="s">
        <v>346</v>
      </c>
    </row>
    <row r="19" spans="1:8" x14ac:dyDescent="0.3">
      <c r="A19" s="34" t="s">
        <v>73</v>
      </c>
      <c r="B19" s="35">
        <v>14000</v>
      </c>
      <c r="D19" s="104">
        <v>46016</v>
      </c>
      <c r="E19" t="s">
        <v>346</v>
      </c>
      <c r="G19" s="104">
        <v>46023</v>
      </c>
      <c r="H19" t="s">
        <v>329</v>
      </c>
    </row>
    <row r="20" spans="1:8" x14ac:dyDescent="0.3">
      <c r="A20" s="34" t="s">
        <v>70</v>
      </c>
      <c r="B20" s="35">
        <v>12000</v>
      </c>
      <c r="D20" s="104">
        <v>46023</v>
      </c>
      <c r="E20" t="s">
        <v>329</v>
      </c>
      <c r="G20" s="104">
        <v>46069</v>
      </c>
      <c r="H20" t="s">
        <v>330</v>
      </c>
    </row>
    <row r="21" spans="1:8" x14ac:dyDescent="0.3">
      <c r="A21" s="34" t="s">
        <v>10</v>
      </c>
      <c r="B21" s="35">
        <v>12000</v>
      </c>
      <c r="D21" s="104">
        <v>46069</v>
      </c>
      <c r="E21" t="s">
        <v>330</v>
      </c>
      <c r="G21" s="104">
        <v>46070</v>
      </c>
      <c r="H21" t="s">
        <v>330</v>
      </c>
    </row>
    <row r="22" spans="1:8" x14ac:dyDescent="0.3">
      <c r="A22" s="34" t="s">
        <v>123</v>
      </c>
      <c r="B22" s="35">
        <v>3847.53</v>
      </c>
      <c r="D22" s="104">
        <v>46070</v>
      </c>
      <c r="E22" t="s">
        <v>330</v>
      </c>
      <c r="G22" s="104">
        <v>46071</v>
      </c>
      <c r="H22" t="s">
        <v>331</v>
      </c>
    </row>
    <row r="23" spans="1:8" x14ac:dyDescent="0.3">
      <c r="A23" s="34" t="s">
        <v>260</v>
      </c>
      <c r="B23" s="35">
        <v>1</v>
      </c>
      <c r="D23" s="104">
        <v>46071</v>
      </c>
      <c r="E23" t="s">
        <v>331</v>
      </c>
      <c r="G23" s="104">
        <v>46115</v>
      </c>
      <c r="H23" t="s">
        <v>332</v>
      </c>
    </row>
    <row r="24" spans="1:8" x14ac:dyDescent="0.3">
      <c r="A24" s="34" t="s">
        <v>261</v>
      </c>
      <c r="B24" s="35">
        <v>1</v>
      </c>
      <c r="D24" s="104">
        <v>46115</v>
      </c>
      <c r="E24" t="s">
        <v>332</v>
      </c>
      <c r="G24" s="104">
        <v>46133</v>
      </c>
      <c r="H24" t="s">
        <v>333</v>
      </c>
    </row>
    <row r="25" spans="1:8" x14ac:dyDescent="0.3">
      <c r="A25" s="34" t="s">
        <v>262</v>
      </c>
      <c r="B25" s="35">
        <v>1</v>
      </c>
      <c r="D25" s="104">
        <v>46133</v>
      </c>
      <c r="E25" t="s">
        <v>333</v>
      </c>
      <c r="G25" s="104">
        <v>46140</v>
      </c>
      <c r="H25" t="s">
        <v>334</v>
      </c>
    </row>
    <row r="26" spans="1:8" x14ac:dyDescent="0.3">
      <c r="A26" s="34" t="s">
        <v>126</v>
      </c>
      <c r="B26" s="35">
        <v>3218.17</v>
      </c>
      <c r="D26" s="104">
        <v>46140</v>
      </c>
      <c r="E26" t="s">
        <v>334</v>
      </c>
      <c r="G26" s="104">
        <v>46143</v>
      </c>
      <c r="H26" t="s">
        <v>335</v>
      </c>
    </row>
    <row r="27" spans="1:8" x14ac:dyDescent="0.3">
      <c r="A27" s="34" t="s">
        <v>135</v>
      </c>
      <c r="B27" s="35">
        <v>3328.48</v>
      </c>
      <c r="D27" s="104">
        <v>46143</v>
      </c>
      <c r="E27" t="s">
        <v>335</v>
      </c>
      <c r="G27" s="104">
        <v>46177</v>
      </c>
      <c r="H27" t="s">
        <v>336</v>
      </c>
    </row>
    <row r="28" spans="1:8" x14ac:dyDescent="0.3">
      <c r="A28" s="34" t="s">
        <v>139</v>
      </c>
      <c r="B28" s="35">
        <v>3494.9</v>
      </c>
      <c r="D28" s="104">
        <v>46177</v>
      </c>
      <c r="E28" t="s">
        <v>336</v>
      </c>
      <c r="G28" s="104">
        <v>46272</v>
      </c>
      <c r="H28" t="s">
        <v>338</v>
      </c>
    </row>
    <row r="29" spans="1:8" x14ac:dyDescent="0.3">
      <c r="A29" s="156" t="s">
        <v>382</v>
      </c>
      <c r="B29" s="157">
        <v>1</v>
      </c>
      <c r="D29" s="104">
        <v>46256</v>
      </c>
      <c r="E29" t="s">
        <v>337</v>
      </c>
      <c r="G29" s="104">
        <v>46273</v>
      </c>
      <c r="H29" t="s">
        <v>339</v>
      </c>
    </row>
    <row r="30" spans="1:8" x14ac:dyDescent="0.3">
      <c r="A30" s="34" t="s">
        <v>185</v>
      </c>
      <c r="B30" s="35">
        <v>1</v>
      </c>
      <c r="D30" s="104">
        <v>46272</v>
      </c>
      <c r="E30" t="s">
        <v>338</v>
      </c>
      <c r="G30" s="104">
        <v>46307</v>
      </c>
      <c r="H30" t="s">
        <v>340</v>
      </c>
    </row>
    <row r="31" spans="1:8" x14ac:dyDescent="0.3">
      <c r="A31" s="34" t="s">
        <v>193</v>
      </c>
      <c r="B31" s="35">
        <v>4975.62</v>
      </c>
      <c r="D31" s="104">
        <v>46307</v>
      </c>
      <c r="E31" t="s">
        <v>340</v>
      </c>
      <c r="G31" s="104">
        <v>46328</v>
      </c>
      <c r="H31" t="s">
        <v>342</v>
      </c>
    </row>
    <row r="32" spans="1:8" x14ac:dyDescent="0.3">
      <c r="A32" s="34" t="s">
        <v>263</v>
      </c>
      <c r="B32" s="35">
        <v>8500</v>
      </c>
      <c r="D32" s="104">
        <v>46328</v>
      </c>
      <c r="E32" t="s">
        <v>342</v>
      </c>
      <c r="G32" s="104">
        <v>46341</v>
      </c>
      <c r="H32" t="s">
        <v>343</v>
      </c>
    </row>
    <row r="33" spans="1:8" x14ac:dyDescent="0.3">
      <c r="A33" s="34" t="s">
        <v>67</v>
      </c>
      <c r="B33" s="35">
        <v>4425.3</v>
      </c>
      <c r="D33" s="104">
        <v>46341</v>
      </c>
      <c r="E33" t="s">
        <v>343</v>
      </c>
      <c r="G33" s="104">
        <v>46346</v>
      </c>
      <c r="H33" t="s">
        <v>344</v>
      </c>
    </row>
    <row r="34" spans="1:8" x14ac:dyDescent="0.3">
      <c r="A34" s="34" t="s">
        <v>68</v>
      </c>
      <c r="B34" s="35">
        <v>4425.3</v>
      </c>
      <c r="D34" s="104">
        <v>46346</v>
      </c>
      <c r="E34" t="s">
        <v>344</v>
      </c>
      <c r="G34" s="104">
        <v>46381</v>
      </c>
      <c r="H34" t="s">
        <v>346</v>
      </c>
    </row>
    <row r="35" spans="1:8" x14ac:dyDescent="0.3">
      <c r="A35" s="156"/>
      <c r="B35" s="157"/>
      <c r="D35" s="104">
        <v>46364</v>
      </c>
      <c r="E35" t="s">
        <v>345</v>
      </c>
      <c r="G35" s="104"/>
    </row>
    <row r="36" spans="1:8" x14ac:dyDescent="0.3">
      <c r="D36" s="104">
        <v>46381</v>
      </c>
      <c r="E36" t="s">
        <v>346</v>
      </c>
      <c r="G36" s="104"/>
    </row>
  </sheetData>
  <mergeCells count="1">
    <mergeCell ref="J5:L5"/>
  </mergeCells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K3:N3" calculatedColumn="1"/>
  </ignoredErrors>
  <tableParts count="4"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1BC0E-5C35-41CF-9565-2871E0C1DB5A}">
  <dimension ref="B1:D60"/>
  <sheetViews>
    <sheetView showGridLines="0" workbookViewId="0">
      <selection activeCell="B2" sqref="B2"/>
    </sheetView>
  </sheetViews>
  <sheetFormatPr defaultRowHeight="14.4" x14ac:dyDescent="0.3"/>
  <cols>
    <col min="1" max="1" width="1.44140625" customWidth="1"/>
    <col min="2" max="2" width="39.44140625" bestFit="1" customWidth="1"/>
    <col min="3" max="4" width="28" customWidth="1"/>
  </cols>
  <sheetData>
    <row r="1" spans="2:4" ht="8.25" customHeight="1" thickBot="1" x14ac:dyDescent="0.35"/>
    <row r="2" spans="2:4" ht="36.6" customHeight="1" x14ac:dyDescent="0.3">
      <c r="B2" s="21" t="s">
        <v>215</v>
      </c>
      <c r="C2" s="22" t="s">
        <v>216</v>
      </c>
      <c r="D2" s="23" t="s">
        <v>217</v>
      </c>
    </row>
    <row r="3" spans="2:4" x14ac:dyDescent="0.3">
      <c r="B3" s="24" t="s">
        <v>136</v>
      </c>
      <c r="C3" s="25"/>
      <c r="D3" s="26"/>
    </row>
    <row r="4" spans="2:4" x14ac:dyDescent="0.3">
      <c r="B4" s="24" t="s">
        <v>194</v>
      </c>
      <c r="C4" s="25"/>
      <c r="D4" s="26"/>
    </row>
    <row r="5" spans="2:4" x14ac:dyDescent="0.3">
      <c r="B5" s="24" t="s">
        <v>173</v>
      </c>
      <c r="C5" s="25"/>
      <c r="D5" s="26"/>
    </row>
    <row r="6" spans="2:4" x14ac:dyDescent="0.3">
      <c r="B6" s="24" t="s">
        <v>137</v>
      </c>
      <c r="C6" s="25"/>
      <c r="D6" s="26"/>
    </row>
    <row r="7" spans="2:4" x14ac:dyDescent="0.3">
      <c r="B7" s="24" t="s">
        <v>201</v>
      </c>
      <c r="C7" s="25"/>
      <c r="D7" s="26"/>
    </row>
    <row r="8" spans="2:4" x14ac:dyDescent="0.3">
      <c r="B8" s="24" t="s">
        <v>138</v>
      </c>
      <c r="C8" s="25"/>
      <c r="D8" s="26"/>
    </row>
    <row r="9" spans="2:4" x14ac:dyDescent="0.3">
      <c r="B9" s="24" t="s">
        <v>48</v>
      </c>
      <c r="C9" s="25"/>
      <c r="D9" s="26"/>
    </row>
    <row r="10" spans="2:4" x14ac:dyDescent="0.3">
      <c r="B10" s="24" t="s">
        <v>199</v>
      </c>
      <c r="C10" s="25"/>
      <c r="D10" s="26"/>
    </row>
    <row r="11" spans="2:4" x14ac:dyDescent="0.3">
      <c r="B11" s="24" t="s">
        <v>228</v>
      </c>
      <c r="C11" s="25"/>
      <c r="D11" s="26"/>
    </row>
    <row r="12" spans="2:4" x14ac:dyDescent="0.3">
      <c r="B12" s="24" t="s">
        <v>200</v>
      </c>
      <c r="C12" s="25"/>
      <c r="D12" s="26"/>
    </row>
    <row r="13" spans="2:4" x14ac:dyDescent="0.3">
      <c r="B13" s="24" t="s">
        <v>202</v>
      </c>
      <c r="C13" s="25"/>
      <c r="D13" s="26"/>
    </row>
    <row r="14" spans="2:4" x14ac:dyDescent="0.3">
      <c r="B14" s="24" t="s">
        <v>203</v>
      </c>
      <c r="C14" s="25"/>
      <c r="D14" s="26"/>
    </row>
    <row r="15" spans="2:4" x14ac:dyDescent="0.3">
      <c r="B15" s="24" t="s">
        <v>195</v>
      </c>
      <c r="C15" s="25"/>
      <c r="D15" s="26"/>
    </row>
    <row r="16" spans="2:4" x14ac:dyDescent="0.3">
      <c r="B16" s="24" t="s">
        <v>49</v>
      </c>
      <c r="C16" s="25"/>
      <c r="D16" s="26"/>
    </row>
    <row r="17" spans="2:4" x14ac:dyDescent="0.3">
      <c r="B17" s="24" t="s">
        <v>140</v>
      </c>
      <c r="C17" s="25"/>
      <c r="D17" s="26"/>
    </row>
    <row r="18" spans="2:4" x14ac:dyDescent="0.3">
      <c r="B18" s="24" t="s">
        <v>38</v>
      </c>
      <c r="C18" s="25"/>
      <c r="D18" s="26"/>
    </row>
    <row r="19" spans="2:4" x14ac:dyDescent="0.3">
      <c r="B19" s="24" t="s">
        <v>50</v>
      </c>
      <c r="C19" s="25"/>
      <c r="D19" s="26"/>
    </row>
    <row r="20" spans="2:4" x14ac:dyDescent="0.3">
      <c r="B20" s="24" t="s">
        <v>197</v>
      </c>
      <c r="C20" s="25"/>
      <c r="D20" s="26"/>
    </row>
    <row r="21" spans="2:4" x14ac:dyDescent="0.3">
      <c r="B21" s="24" t="s">
        <v>76</v>
      </c>
      <c r="C21" s="25"/>
      <c r="D21" s="26"/>
    </row>
    <row r="22" spans="2:4" x14ac:dyDescent="0.3">
      <c r="B22" s="24" t="s">
        <v>51</v>
      </c>
      <c r="C22" s="25"/>
      <c r="D22" s="26"/>
    </row>
    <row r="23" spans="2:4" x14ac:dyDescent="0.3">
      <c r="B23" s="24" t="s">
        <v>130</v>
      </c>
      <c r="C23" s="25"/>
      <c r="D23" s="26"/>
    </row>
    <row r="24" spans="2:4" x14ac:dyDescent="0.3">
      <c r="B24" s="24" t="s">
        <v>129</v>
      </c>
      <c r="C24" s="25"/>
      <c r="D24" s="26"/>
    </row>
    <row r="25" spans="2:4" x14ac:dyDescent="0.3">
      <c r="B25" s="24" t="s">
        <v>131</v>
      </c>
      <c r="C25" s="25"/>
      <c r="D25" s="26"/>
    </row>
    <row r="26" spans="2:4" x14ac:dyDescent="0.3">
      <c r="B26" s="24" t="s">
        <v>4</v>
      </c>
      <c r="C26" s="25"/>
      <c r="D26" s="26"/>
    </row>
    <row r="27" spans="2:4" x14ac:dyDescent="0.3">
      <c r="B27" s="24" t="s">
        <v>198</v>
      </c>
      <c r="C27" s="25"/>
      <c r="D27" s="26"/>
    </row>
    <row r="28" spans="2:4" x14ac:dyDescent="0.3">
      <c r="B28" s="24" t="s">
        <v>52</v>
      </c>
      <c r="C28" s="25"/>
      <c r="D28" s="26"/>
    </row>
    <row r="29" spans="2:4" x14ac:dyDescent="0.3">
      <c r="B29" s="24" t="s">
        <v>196</v>
      </c>
      <c r="C29" s="25"/>
      <c r="D29" s="26"/>
    </row>
    <row r="30" spans="2:4" x14ac:dyDescent="0.3">
      <c r="B30" s="24" t="s">
        <v>141</v>
      </c>
      <c r="C30" s="25"/>
      <c r="D30" s="26"/>
    </row>
    <row r="31" spans="2:4" x14ac:dyDescent="0.3">
      <c r="B31" s="24" t="s">
        <v>142</v>
      </c>
      <c r="C31" s="25"/>
      <c r="D31" s="26"/>
    </row>
    <row r="32" spans="2:4" x14ac:dyDescent="0.3">
      <c r="B32" s="24" t="s">
        <v>53</v>
      </c>
      <c r="C32" s="25"/>
      <c r="D32" s="26"/>
    </row>
    <row r="33" spans="2:4" x14ac:dyDescent="0.3">
      <c r="B33" s="24" t="s">
        <v>54</v>
      </c>
      <c r="C33" s="25"/>
      <c r="D33" s="26"/>
    </row>
    <row r="34" spans="2:4" x14ac:dyDescent="0.3">
      <c r="B34" s="24" t="s">
        <v>55</v>
      </c>
      <c r="C34" s="25"/>
      <c r="D34" s="26"/>
    </row>
    <row r="35" spans="2:4" x14ac:dyDescent="0.3">
      <c r="B35" s="24" t="s">
        <v>222</v>
      </c>
      <c r="C35" s="25"/>
      <c r="D35" s="26"/>
    </row>
    <row r="36" spans="2:4" x14ac:dyDescent="0.3">
      <c r="B36" s="24" t="s">
        <v>132</v>
      </c>
      <c r="C36" s="25"/>
      <c r="D36" s="26"/>
    </row>
    <row r="37" spans="2:4" x14ac:dyDescent="0.3">
      <c r="B37" s="24" t="s">
        <v>56</v>
      </c>
      <c r="C37" s="25"/>
      <c r="D37" s="26"/>
    </row>
    <row r="38" spans="2:4" x14ac:dyDescent="0.3">
      <c r="B38" s="24" t="s">
        <v>40</v>
      </c>
      <c r="C38" s="25"/>
      <c r="D38" s="26"/>
    </row>
    <row r="39" spans="2:4" x14ac:dyDescent="0.3">
      <c r="B39" s="24" t="s">
        <v>133</v>
      </c>
      <c r="C39" s="25"/>
      <c r="D39" s="26"/>
    </row>
    <row r="40" spans="2:4" x14ac:dyDescent="0.3">
      <c r="B40" s="24" t="s">
        <v>41</v>
      </c>
      <c r="C40" s="25"/>
      <c r="D40" s="26"/>
    </row>
    <row r="41" spans="2:4" x14ac:dyDescent="0.3">
      <c r="B41" s="24" t="s">
        <v>42</v>
      </c>
      <c r="C41" s="25"/>
      <c r="D41" s="26"/>
    </row>
    <row r="42" spans="2:4" x14ac:dyDescent="0.3">
      <c r="B42" s="24" t="s">
        <v>57</v>
      </c>
      <c r="C42" s="25"/>
      <c r="D42" s="26"/>
    </row>
    <row r="43" spans="2:4" x14ac:dyDescent="0.3">
      <c r="B43" s="24" t="s">
        <v>58</v>
      </c>
      <c r="C43" s="25"/>
      <c r="D43" s="26"/>
    </row>
    <row r="44" spans="2:4" x14ac:dyDescent="0.3">
      <c r="B44" s="24" t="s">
        <v>59</v>
      </c>
      <c r="C44" s="25"/>
      <c r="D44" s="26"/>
    </row>
    <row r="45" spans="2:4" x14ac:dyDescent="0.3">
      <c r="B45" s="24" t="s">
        <v>43</v>
      </c>
      <c r="C45" s="25"/>
      <c r="D45" s="26"/>
    </row>
    <row r="46" spans="2:4" x14ac:dyDescent="0.3">
      <c r="B46" s="24" t="s">
        <v>134</v>
      </c>
      <c r="C46" s="25"/>
      <c r="D46" s="26"/>
    </row>
    <row r="47" spans="2:4" x14ac:dyDescent="0.3">
      <c r="B47" s="24" t="s">
        <v>44</v>
      </c>
      <c r="C47" s="25"/>
      <c r="D47" s="26"/>
    </row>
    <row r="48" spans="2:4" x14ac:dyDescent="0.3">
      <c r="B48" s="24" t="s">
        <v>143</v>
      </c>
      <c r="C48" s="25"/>
      <c r="D48" s="26"/>
    </row>
    <row r="49" spans="2:4" x14ac:dyDescent="0.3">
      <c r="B49" s="24" t="s">
        <v>144</v>
      </c>
      <c r="C49" s="25"/>
      <c r="D49" s="26"/>
    </row>
    <row r="50" spans="2:4" x14ac:dyDescent="0.3">
      <c r="B50" s="24" t="s">
        <v>46</v>
      </c>
      <c r="C50" s="25"/>
      <c r="D50" s="26"/>
    </row>
    <row r="51" spans="2:4" x14ac:dyDescent="0.3">
      <c r="B51" s="24" t="s">
        <v>77</v>
      </c>
      <c r="C51" s="25"/>
      <c r="D51" s="26"/>
    </row>
    <row r="52" spans="2:4" x14ac:dyDescent="0.3">
      <c r="B52" s="24" t="s">
        <v>174</v>
      </c>
      <c r="C52" s="25"/>
      <c r="D52" s="26"/>
    </row>
    <row r="53" spans="2:4" x14ac:dyDescent="0.3">
      <c r="B53" s="24" t="s">
        <v>47</v>
      </c>
      <c r="C53" s="25"/>
      <c r="D53" s="26"/>
    </row>
    <row r="54" spans="2:4" x14ac:dyDescent="0.3">
      <c r="B54" s="24" t="s">
        <v>147</v>
      </c>
      <c r="C54" s="25"/>
      <c r="D54" s="26"/>
    </row>
    <row r="55" spans="2:4" x14ac:dyDescent="0.3">
      <c r="B55" s="24" t="s">
        <v>60</v>
      </c>
      <c r="C55" s="25"/>
      <c r="D55" s="26"/>
    </row>
    <row r="56" spans="2:4" x14ac:dyDescent="0.3">
      <c r="B56" s="24" t="s">
        <v>61</v>
      </c>
      <c r="C56" s="25"/>
      <c r="D56" s="26"/>
    </row>
    <row r="57" spans="2:4" x14ac:dyDescent="0.3">
      <c r="B57" s="24" t="s">
        <v>224</v>
      </c>
      <c r="C57" s="25"/>
      <c r="D57" s="26"/>
    </row>
    <row r="58" spans="2:4" x14ac:dyDescent="0.3">
      <c r="B58" s="24" t="s">
        <v>145</v>
      </c>
      <c r="C58" s="25"/>
      <c r="D58" s="26"/>
    </row>
    <row r="59" spans="2:4" x14ac:dyDescent="0.3">
      <c r="B59" s="24" t="s">
        <v>146</v>
      </c>
      <c r="C59" s="25"/>
      <c r="D59" s="26"/>
    </row>
    <row r="60" spans="2:4" ht="15" thickBot="1" x14ac:dyDescent="0.35">
      <c r="B60" s="27" t="s">
        <v>78</v>
      </c>
      <c r="C60" s="28"/>
      <c r="D60" s="2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46B9B-6828-4274-A4FD-3BC1D83A538C}">
  <dimension ref="B1:D58"/>
  <sheetViews>
    <sheetView showGridLines="0" workbookViewId="0">
      <selection activeCell="B2" sqref="B2"/>
    </sheetView>
  </sheetViews>
  <sheetFormatPr defaultRowHeight="14.4" x14ac:dyDescent="0.3"/>
  <cols>
    <col min="1" max="1" width="1.44140625" customWidth="1"/>
    <col min="2" max="2" width="39.44140625" bestFit="1" customWidth="1"/>
    <col min="3" max="3" width="23.88671875" customWidth="1"/>
    <col min="4" max="4" width="21.21875" customWidth="1"/>
    <col min="9" max="9" width="8.5546875" customWidth="1"/>
  </cols>
  <sheetData>
    <row r="1" spans="2:4" ht="8.25" customHeight="1" thickBot="1" x14ac:dyDescent="0.35"/>
    <row r="2" spans="2:4" ht="52.95" customHeight="1" x14ac:dyDescent="0.3">
      <c r="B2" s="32" t="s">
        <v>220</v>
      </c>
      <c r="C2" s="30" t="s">
        <v>218</v>
      </c>
      <c r="D2" s="31" t="s">
        <v>219</v>
      </c>
    </row>
    <row r="3" spans="2:4" x14ac:dyDescent="0.3">
      <c r="B3" s="24" t="s">
        <v>172</v>
      </c>
      <c r="C3" s="25"/>
      <c r="D3" s="26"/>
    </row>
    <row r="4" spans="2:4" ht="19.95" customHeight="1" x14ac:dyDescent="0.3">
      <c r="B4" s="24" t="s">
        <v>32</v>
      </c>
      <c r="C4" s="25"/>
      <c r="D4" s="26"/>
    </row>
    <row r="5" spans="2:4" x14ac:dyDescent="0.3">
      <c r="B5" s="24" t="s">
        <v>170</v>
      </c>
      <c r="C5" s="25"/>
      <c r="D5" s="26"/>
    </row>
    <row r="6" spans="2:4" x14ac:dyDescent="0.3">
      <c r="B6" s="24" t="s">
        <v>33</v>
      </c>
      <c r="C6" s="25"/>
      <c r="D6" s="26"/>
    </row>
    <row r="7" spans="2:4" ht="13.95" customHeight="1" x14ac:dyDescent="0.3">
      <c r="B7" s="24" t="s">
        <v>34</v>
      </c>
      <c r="C7" s="25"/>
      <c r="D7" s="26"/>
    </row>
    <row r="8" spans="2:4" ht="14.4" customHeight="1" x14ac:dyDescent="0.3">
      <c r="B8" s="24" t="s">
        <v>35</v>
      </c>
      <c r="C8" s="25"/>
      <c r="D8" s="26"/>
    </row>
    <row r="9" spans="2:4" x14ac:dyDescent="0.3">
      <c r="B9" s="24" t="s">
        <v>36</v>
      </c>
      <c r="C9" s="25"/>
      <c r="D9" s="26"/>
    </row>
    <row r="10" spans="2:4" x14ac:dyDescent="0.3">
      <c r="B10" s="24" t="s">
        <v>37</v>
      </c>
      <c r="C10" s="25"/>
      <c r="D10" s="26"/>
    </row>
    <row r="11" spans="2:4" x14ac:dyDescent="0.3">
      <c r="B11" s="24" t="s">
        <v>171</v>
      </c>
      <c r="C11" s="25"/>
      <c r="D11" s="26"/>
    </row>
    <row r="12" spans="2:4" x14ac:dyDescent="0.3">
      <c r="B12" s="24" t="s">
        <v>62</v>
      </c>
      <c r="C12" s="25"/>
      <c r="D12" s="26"/>
    </row>
    <row r="13" spans="2:4" x14ac:dyDescent="0.3">
      <c r="B13" s="24" t="s">
        <v>63</v>
      </c>
      <c r="C13" s="25"/>
      <c r="D13" s="26"/>
    </row>
    <row r="14" spans="2:4" x14ac:dyDescent="0.3">
      <c r="B14" s="24" t="s">
        <v>64</v>
      </c>
      <c r="C14" s="25"/>
      <c r="D14" s="26"/>
    </row>
    <row r="15" spans="2:4" x14ac:dyDescent="0.3">
      <c r="B15" s="24" t="s">
        <v>166</v>
      </c>
      <c r="C15" s="25"/>
      <c r="D15" s="26"/>
    </row>
    <row r="16" spans="2:4" x14ac:dyDescent="0.3">
      <c r="B16" s="24" t="s">
        <v>12</v>
      </c>
      <c r="C16" s="25"/>
      <c r="D16" s="26"/>
    </row>
    <row r="17" spans="2:4" x14ac:dyDescent="0.3">
      <c r="B17" s="24" t="s">
        <v>169</v>
      </c>
      <c r="C17" s="25"/>
      <c r="D17" s="26"/>
    </row>
    <row r="18" spans="2:4" x14ac:dyDescent="0.3">
      <c r="B18" s="24" t="s">
        <v>65</v>
      </c>
      <c r="C18" s="25"/>
      <c r="D18" s="26"/>
    </row>
    <row r="19" spans="2:4" x14ac:dyDescent="0.3">
      <c r="B19" s="24" t="s">
        <v>45</v>
      </c>
      <c r="C19" s="25"/>
      <c r="D19" s="26"/>
    </row>
    <row r="20" spans="2:4" x14ac:dyDescent="0.3">
      <c r="B20" s="24" t="s">
        <v>167</v>
      </c>
      <c r="C20" s="25"/>
      <c r="D20" s="26"/>
    </row>
    <row r="21" spans="2:4" x14ac:dyDescent="0.3">
      <c r="B21" s="24" t="s">
        <v>226</v>
      </c>
      <c r="C21" s="25"/>
      <c r="D21" s="26"/>
    </row>
    <row r="22" spans="2:4" x14ac:dyDescent="0.3">
      <c r="B22" s="24" t="s">
        <v>164</v>
      </c>
      <c r="C22" s="25"/>
      <c r="D22" s="26"/>
    </row>
    <row r="23" spans="2:4" x14ac:dyDescent="0.3">
      <c r="B23" s="24" t="s">
        <v>66</v>
      </c>
      <c r="C23" s="25"/>
      <c r="D23" s="26"/>
    </row>
    <row r="24" spans="2:4" x14ac:dyDescent="0.3">
      <c r="B24" s="24"/>
      <c r="C24" s="25"/>
      <c r="D24" s="26"/>
    </row>
    <row r="25" spans="2:4" x14ac:dyDescent="0.3">
      <c r="B25" s="24"/>
      <c r="C25" s="25"/>
      <c r="D25" s="26"/>
    </row>
    <row r="26" spans="2:4" x14ac:dyDescent="0.3">
      <c r="B26" s="24"/>
      <c r="C26" s="25"/>
      <c r="D26" s="26"/>
    </row>
    <row r="27" spans="2:4" x14ac:dyDescent="0.3">
      <c r="B27" s="24"/>
      <c r="C27" s="25"/>
      <c r="D27" s="26"/>
    </row>
    <row r="28" spans="2:4" x14ac:dyDescent="0.3">
      <c r="B28" s="24"/>
      <c r="C28" s="25"/>
      <c r="D28" s="26"/>
    </row>
    <row r="29" spans="2:4" x14ac:dyDescent="0.3">
      <c r="B29" s="24"/>
      <c r="C29" s="25"/>
      <c r="D29" s="26"/>
    </row>
    <row r="30" spans="2:4" x14ac:dyDescent="0.3">
      <c r="B30" s="24"/>
      <c r="C30" s="25"/>
      <c r="D30" s="26"/>
    </row>
    <row r="31" spans="2:4" x14ac:dyDescent="0.3">
      <c r="B31" s="24"/>
      <c r="C31" s="25"/>
      <c r="D31" s="26"/>
    </row>
    <row r="32" spans="2:4" x14ac:dyDescent="0.3">
      <c r="B32" s="24"/>
      <c r="C32" s="25"/>
      <c r="D32" s="26"/>
    </row>
    <row r="33" spans="2:4" x14ac:dyDescent="0.3">
      <c r="B33" s="24"/>
      <c r="C33" s="25"/>
      <c r="D33" s="26"/>
    </row>
    <row r="34" spans="2:4" x14ac:dyDescent="0.3">
      <c r="B34" s="24"/>
      <c r="C34" s="25"/>
      <c r="D34" s="26"/>
    </row>
    <row r="35" spans="2:4" x14ac:dyDescent="0.3">
      <c r="B35" s="24"/>
      <c r="C35" s="25"/>
      <c r="D35" s="26"/>
    </row>
    <row r="36" spans="2:4" x14ac:dyDescent="0.3">
      <c r="B36" s="24"/>
      <c r="C36" s="25"/>
      <c r="D36" s="26"/>
    </row>
    <row r="37" spans="2:4" x14ac:dyDescent="0.3">
      <c r="B37" s="24"/>
      <c r="C37" s="25"/>
      <c r="D37" s="26"/>
    </row>
    <row r="38" spans="2:4" x14ac:dyDescent="0.3">
      <c r="B38" s="24"/>
      <c r="C38" s="25"/>
      <c r="D38" s="26"/>
    </row>
    <row r="39" spans="2:4" x14ac:dyDescent="0.3">
      <c r="B39" s="24"/>
      <c r="C39" s="25"/>
      <c r="D39" s="26"/>
    </row>
    <row r="40" spans="2:4" x14ac:dyDescent="0.3">
      <c r="B40" s="24"/>
      <c r="C40" s="25"/>
      <c r="D40" s="26"/>
    </row>
    <row r="41" spans="2:4" x14ac:dyDescent="0.3">
      <c r="B41" s="24"/>
      <c r="C41" s="25"/>
      <c r="D41" s="26"/>
    </row>
    <row r="42" spans="2:4" x14ac:dyDescent="0.3">
      <c r="B42" s="24"/>
      <c r="C42" s="25"/>
      <c r="D42" s="26"/>
    </row>
    <row r="43" spans="2:4" x14ac:dyDescent="0.3">
      <c r="B43" s="24"/>
      <c r="C43" s="25"/>
      <c r="D43" s="26"/>
    </row>
    <row r="44" spans="2:4" x14ac:dyDescent="0.3">
      <c r="B44" s="24"/>
      <c r="C44" s="25"/>
      <c r="D44" s="26"/>
    </row>
    <row r="45" spans="2:4" x14ac:dyDescent="0.3">
      <c r="B45" s="24"/>
      <c r="C45" s="25"/>
      <c r="D45" s="26"/>
    </row>
    <row r="46" spans="2:4" x14ac:dyDescent="0.3">
      <c r="B46" s="24"/>
      <c r="C46" s="25"/>
      <c r="D46" s="26"/>
    </row>
    <row r="47" spans="2:4" x14ac:dyDescent="0.3">
      <c r="B47" s="24"/>
      <c r="C47" s="25"/>
      <c r="D47" s="26"/>
    </row>
    <row r="48" spans="2:4" x14ac:dyDescent="0.3">
      <c r="B48" s="24"/>
      <c r="C48" s="25"/>
      <c r="D48" s="26"/>
    </row>
    <row r="49" spans="2:4" x14ac:dyDescent="0.3">
      <c r="B49" s="24"/>
      <c r="C49" s="25"/>
      <c r="D49" s="26"/>
    </row>
    <row r="50" spans="2:4" x14ac:dyDescent="0.3">
      <c r="B50" s="24"/>
      <c r="C50" s="25"/>
      <c r="D50" s="26"/>
    </row>
    <row r="51" spans="2:4" x14ac:dyDescent="0.3">
      <c r="B51" s="24"/>
      <c r="C51" s="25"/>
      <c r="D51" s="26"/>
    </row>
    <row r="52" spans="2:4" x14ac:dyDescent="0.3">
      <c r="B52" s="24"/>
      <c r="C52" s="25"/>
      <c r="D52" s="26"/>
    </row>
    <row r="53" spans="2:4" x14ac:dyDescent="0.3">
      <c r="B53" s="24"/>
      <c r="C53" s="25"/>
      <c r="D53" s="26"/>
    </row>
    <row r="54" spans="2:4" x14ac:dyDescent="0.3">
      <c r="B54" s="24"/>
      <c r="C54" s="25"/>
      <c r="D54" s="26"/>
    </row>
    <row r="55" spans="2:4" x14ac:dyDescent="0.3">
      <c r="B55" s="24"/>
      <c r="C55" s="25"/>
      <c r="D55" s="26"/>
    </row>
    <row r="56" spans="2:4" x14ac:dyDescent="0.3">
      <c r="B56" s="24"/>
      <c r="C56" s="25"/>
      <c r="D56" s="26"/>
    </row>
    <row r="57" spans="2:4" x14ac:dyDescent="0.3">
      <c r="B57" s="24"/>
      <c r="C57" s="25"/>
      <c r="D57" s="26"/>
    </row>
    <row r="58" spans="2:4" ht="15" thickBot="1" x14ac:dyDescent="0.35">
      <c r="B58" s="27"/>
      <c r="C58" s="28"/>
      <c r="D58" s="2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EFETIVO</vt:lpstr>
      <vt:lpstr>CUSTO ESTIMADO</vt:lpstr>
      <vt:lpstr>SUBCONTRATADOS</vt:lpstr>
      <vt:lpstr>E-MAIL'S</vt:lpstr>
      <vt:lpstr>ACORDO SINDICATO</vt:lpstr>
      <vt:lpstr>AUX</vt:lpstr>
      <vt:lpstr>ACORDO UTGC</vt:lpstr>
      <vt:lpstr>ACORDO EDIVIT</vt:lpstr>
      <vt:lpstr>'E-MAIL''S'!Titulos_de_impressao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Katarine Farah Rebouças da Silva</dc:creator>
  <cp:lastModifiedBy>Geison</cp:lastModifiedBy>
  <dcterms:created xsi:type="dcterms:W3CDTF">2024-04-10T11:56:09Z</dcterms:created>
  <dcterms:modified xsi:type="dcterms:W3CDTF">2026-03-30T14:38:29Z</dcterms:modified>
</cp:coreProperties>
</file>