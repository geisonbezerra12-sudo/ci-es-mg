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slicers/slicer2.xml" ContentType="application/vnd.ms-excel.slicer+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hidePivotFieldList="1"/>
  <mc:AlternateContent xmlns:mc="http://schemas.openxmlformats.org/markup-compatibility/2006">
    <mc:Choice Requires="x15">
      <x15ac:absPath xmlns:x15ac="http://schemas.microsoft.com/office/spreadsheetml/2010/11/ac" url="\\26.229.121.246\apjengenharia\OBRAS\CONTRATO ES\1.GESTAO CONTRATUAL\PLANEJAMENTO\04. CONTROLE DE CUSTOS\"/>
    </mc:Choice>
  </mc:AlternateContent>
  <xr:revisionPtr revIDLastSave="0" documentId="13_ncr:1_{5F7F56DE-7591-4195-AC86-F31E37ED3EE6}" xr6:coauthVersionLast="47" xr6:coauthVersionMax="47" xr10:uidLastSave="{00000000-0000-0000-0000-000000000000}"/>
  <bookViews>
    <workbookView xWindow="28680" yWindow="-120" windowWidth="29040" windowHeight="15720" tabRatio="640" xr2:uid="{00000000-000D-0000-FFFF-FFFF00000000}"/>
  </bookViews>
  <sheets>
    <sheet name="DASH" sheetId="16" r:id="rId1"/>
    <sheet name="TAB-DIN" sheetId="50" state="hidden" r:id="rId2"/>
    <sheet name="CGO" sheetId="17" r:id="rId3"/>
    <sheet name="CTRL_SS" sheetId="47" r:id="rId4"/>
    <sheet name="DISTR-FIN" sheetId="46" state="hidden" r:id="rId5"/>
    <sheet name="CLASS-FIN0" sheetId="52" state="hidden" r:id="rId6"/>
    <sheet name="CLASS-FIN" sheetId="53" state="hidden"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0" localSheetId="4">#REF!</definedName>
    <definedName name="\0">#REF!</definedName>
    <definedName name="\a" localSheetId="4">#REF!</definedName>
    <definedName name="\a">#REF!</definedName>
    <definedName name="\b">#N/A</definedName>
    <definedName name="\c">#N/A</definedName>
    <definedName name="\d" localSheetId="4">#REF!</definedName>
    <definedName name="\d">#REF!</definedName>
    <definedName name="\e" localSheetId="4">#REF!</definedName>
    <definedName name="\e">#REF!</definedName>
    <definedName name="\f">#N/A</definedName>
    <definedName name="\g">#N/A</definedName>
    <definedName name="\h">#N/A</definedName>
    <definedName name="\i" localSheetId="4">#REF!</definedName>
    <definedName name="\i">#REF!</definedName>
    <definedName name="\j" localSheetId="4">#N/A</definedName>
    <definedName name="\j">#REF!</definedName>
    <definedName name="\l">#REF!</definedName>
    <definedName name="\m" localSheetId="4">#REF!</definedName>
    <definedName name="\m">#REF!</definedName>
    <definedName name="\n" localSheetId="4">#REF!</definedName>
    <definedName name="\n">#REF!</definedName>
    <definedName name="\p">#N/A</definedName>
    <definedName name="\PAG1" localSheetId="4">#REF!</definedName>
    <definedName name="\PAG1">#REF!</definedName>
    <definedName name="\PAG10" localSheetId="4">#REF!</definedName>
    <definedName name="\PAG10">#REF!</definedName>
    <definedName name="\PAG11" localSheetId="4">#REF!</definedName>
    <definedName name="\PAG11">#REF!</definedName>
    <definedName name="\PAG13" localSheetId="4">#REF!</definedName>
    <definedName name="\PAG13">#REF!</definedName>
    <definedName name="\PAG14" localSheetId="4">#REF!</definedName>
    <definedName name="\PAG14">#REF!</definedName>
    <definedName name="\PAG2" localSheetId="4">#REF!</definedName>
    <definedName name="\PAG2">#REF!</definedName>
    <definedName name="\PAG3" localSheetId="4">#REF!</definedName>
    <definedName name="\PAG3">#REF!</definedName>
    <definedName name="\PAG4" localSheetId="4">#REF!</definedName>
    <definedName name="\PAG4">#REF!</definedName>
    <definedName name="\PAG5" localSheetId="4">#REF!</definedName>
    <definedName name="\PAG5">#REF!</definedName>
    <definedName name="\PAG6" localSheetId="4">#REF!</definedName>
    <definedName name="\PAG6">#REF!</definedName>
    <definedName name="\PAG7" localSheetId="4">#REF!</definedName>
    <definedName name="\PAG7">#REF!</definedName>
    <definedName name="\PAG8" localSheetId="4">#REF!</definedName>
    <definedName name="\PAG8">#REF!</definedName>
    <definedName name="\PAG9" localSheetId="4">#REF!</definedName>
    <definedName name="\PAG9">#REF!</definedName>
    <definedName name="\q" localSheetId="4">#REF!</definedName>
    <definedName name="\q">#REF!</definedName>
    <definedName name="\r">#N/A</definedName>
    <definedName name="\s" localSheetId="4">#N/A</definedName>
    <definedName name="\s">#REF!</definedName>
    <definedName name="\t" localSheetId="4">#N/A</definedName>
    <definedName name="\t">#REF!</definedName>
    <definedName name="\u">#N/A</definedName>
    <definedName name="\v">#N/A</definedName>
    <definedName name="\w">#REF!</definedName>
    <definedName name="\x">#N/A</definedName>
    <definedName name="\z">#N/A</definedName>
    <definedName name="_" localSheetId="4">#REF!</definedName>
    <definedName name="_">#REF!</definedName>
    <definedName name="________________pl056" localSheetId="4">#REF!</definedName>
    <definedName name="________________pl056">#REF!</definedName>
    <definedName name="_______________pl056" localSheetId="4">#REF!</definedName>
    <definedName name="_______________pl056">#REF!</definedName>
    <definedName name="______________pl056" localSheetId="4">#REF!</definedName>
    <definedName name="______________pl056">#REF!</definedName>
    <definedName name="_____________pl056" localSheetId="4">#REF!</definedName>
    <definedName name="_____________pl056">#REF!</definedName>
    <definedName name="____________pl056" localSheetId="4">#REF!</definedName>
    <definedName name="____________pl056">#REF!</definedName>
    <definedName name="___________pl056" localSheetId="4">#REF!</definedName>
    <definedName name="___________pl056">#REF!</definedName>
    <definedName name="__________pl056" localSheetId="4">#REF!</definedName>
    <definedName name="__________pl056">#REF!</definedName>
    <definedName name="_________bar1" localSheetId="4" hidden="1">{#N/A,#N/A,FALSE,"GERAL";#N/A,#N/A,FALSE,"012-96";#N/A,#N/A,FALSE,"018-96";#N/A,#N/A,FALSE,"027-96";#N/A,#N/A,FALSE,"059-96";#N/A,#N/A,FALSE,"076-96";#N/A,#N/A,FALSE,"019-97";#N/A,#N/A,FALSE,"021-97";#N/A,#N/A,FALSE,"022-97";#N/A,#N/A,FALSE,"028-97"}</definedName>
    <definedName name="_________bar1" hidden="1">{#N/A,#N/A,FALSE,"GERAL";#N/A,#N/A,FALSE,"012-96";#N/A,#N/A,FALSE,"018-96";#N/A,#N/A,FALSE,"027-96";#N/A,#N/A,FALSE,"059-96";#N/A,#N/A,FALSE,"076-96";#N/A,#N/A,FALSE,"019-97";#N/A,#N/A,FALSE,"021-97";#N/A,#N/A,FALSE,"022-97";#N/A,#N/A,FALSE,"028-97"}</definedName>
    <definedName name="_________pl056" localSheetId="4">#REF!</definedName>
    <definedName name="_________pl056">#REF!</definedName>
    <definedName name="________bar1" localSheetId="4" hidden="1">{#N/A,#N/A,FALSE,"GERAL";#N/A,#N/A,FALSE,"012-96";#N/A,#N/A,FALSE,"018-96";#N/A,#N/A,FALSE,"027-96";#N/A,#N/A,FALSE,"059-96";#N/A,#N/A,FALSE,"076-96";#N/A,#N/A,FALSE,"019-97";#N/A,#N/A,FALSE,"021-97";#N/A,#N/A,FALSE,"022-97";#N/A,#N/A,FALSE,"028-97"}</definedName>
    <definedName name="________bar1" hidden="1">{#N/A,#N/A,FALSE,"GERAL";#N/A,#N/A,FALSE,"012-96";#N/A,#N/A,FALSE,"018-96";#N/A,#N/A,FALSE,"027-96";#N/A,#N/A,FALSE,"059-96";#N/A,#N/A,FALSE,"076-96";#N/A,#N/A,FALSE,"019-97";#N/A,#N/A,FALSE,"021-97";#N/A,#N/A,FALSE,"022-97";#N/A,#N/A,FALSE,"028-97"}</definedName>
    <definedName name="________pl056" localSheetId="4">#REF!</definedName>
    <definedName name="________pl056">#REF!</definedName>
    <definedName name="_______bar1" localSheetId="4" hidden="1">{#N/A,#N/A,FALSE,"GERAL";#N/A,#N/A,FALSE,"012-96";#N/A,#N/A,FALSE,"018-96";#N/A,#N/A,FALSE,"027-96";#N/A,#N/A,FALSE,"059-96";#N/A,#N/A,FALSE,"076-96";#N/A,#N/A,FALSE,"019-97";#N/A,#N/A,FALSE,"021-97";#N/A,#N/A,FALSE,"022-97";#N/A,#N/A,FALSE,"028-97"}</definedName>
    <definedName name="_______bar1" hidden="1">{#N/A,#N/A,FALSE,"GERAL";#N/A,#N/A,FALSE,"012-96";#N/A,#N/A,FALSE,"018-96";#N/A,#N/A,FALSE,"027-96";#N/A,#N/A,FALSE,"059-96";#N/A,#N/A,FALSE,"076-96";#N/A,#N/A,FALSE,"019-97";#N/A,#N/A,FALSE,"021-97";#N/A,#N/A,FALSE,"022-97";#N/A,#N/A,FALSE,"028-97"}</definedName>
    <definedName name="_______pl056" localSheetId="4">#REF!</definedName>
    <definedName name="_______pl056">#REF!</definedName>
    <definedName name="______bar1" localSheetId="4" hidden="1">{#N/A,#N/A,FALSE,"GERAL";#N/A,#N/A,FALSE,"012-96";#N/A,#N/A,FALSE,"018-96";#N/A,#N/A,FALSE,"027-96";#N/A,#N/A,FALSE,"059-96";#N/A,#N/A,FALSE,"076-96";#N/A,#N/A,FALSE,"019-97";#N/A,#N/A,FALSE,"021-97";#N/A,#N/A,FALSE,"022-97";#N/A,#N/A,FALSE,"028-97"}</definedName>
    <definedName name="______bar1" hidden="1">{#N/A,#N/A,FALSE,"GERAL";#N/A,#N/A,FALSE,"012-96";#N/A,#N/A,FALSE,"018-96";#N/A,#N/A,FALSE,"027-96";#N/A,#N/A,FALSE,"059-96";#N/A,#N/A,FALSE,"076-96";#N/A,#N/A,FALSE,"019-97";#N/A,#N/A,FALSE,"021-97";#N/A,#N/A,FALSE,"022-97";#N/A,#N/A,FALSE,"028-97"}</definedName>
    <definedName name="______COD1" localSheetId="4">#REF!</definedName>
    <definedName name="______COD1">#REF!</definedName>
    <definedName name="______COD10" localSheetId="4">#REF!</definedName>
    <definedName name="______COD10">#REF!</definedName>
    <definedName name="______COD11" localSheetId="4">#REF!</definedName>
    <definedName name="______COD11">#REF!</definedName>
    <definedName name="______COD13" localSheetId="4">#REF!</definedName>
    <definedName name="______COD13">#REF!</definedName>
    <definedName name="______COD138" localSheetId="4">#REF!</definedName>
    <definedName name="______COD138">#REF!</definedName>
    <definedName name="______COD140" localSheetId="4">#REF!</definedName>
    <definedName name="______COD140">#REF!</definedName>
    <definedName name="______COD144" localSheetId="4">#REF!</definedName>
    <definedName name="______COD144">#REF!</definedName>
    <definedName name="______COD146" localSheetId="4">#REF!</definedName>
    <definedName name="______COD146">#REF!</definedName>
    <definedName name="______COD149" localSheetId="4">#REF!</definedName>
    <definedName name="______COD149">#REF!</definedName>
    <definedName name="______COD152" localSheetId="4">#REF!</definedName>
    <definedName name="______COD152">#REF!</definedName>
    <definedName name="______COD154" localSheetId="4">#REF!</definedName>
    <definedName name="______COD154">#REF!</definedName>
    <definedName name="______COD155" localSheetId="4">#REF!</definedName>
    <definedName name="______COD155">#REF!</definedName>
    <definedName name="______COD156" localSheetId="4">#REF!</definedName>
    <definedName name="______COD156">#REF!</definedName>
    <definedName name="______COD157" localSheetId="4">#REF!</definedName>
    <definedName name="______COD157">#REF!</definedName>
    <definedName name="______COD158" localSheetId="4">#REF!</definedName>
    <definedName name="______COD158">#REF!</definedName>
    <definedName name="______COD16" localSheetId="4">#REF!</definedName>
    <definedName name="______COD16">#REF!</definedName>
    <definedName name="______COD161" localSheetId="4">#REF!</definedName>
    <definedName name="______COD161">#REF!</definedName>
    <definedName name="______COD166" localSheetId="4">#REF!</definedName>
    <definedName name="______COD166">#REF!</definedName>
    <definedName name="______COD168" localSheetId="4">#REF!</definedName>
    <definedName name="______COD168">#REF!</definedName>
    <definedName name="______COD169" localSheetId="4">#REF!</definedName>
    <definedName name="______COD169">#REF!</definedName>
    <definedName name="______COD17" localSheetId="4">#REF!</definedName>
    <definedName name="______COD17">#REF!</definedName>
    <definedName name="______COD170" localSheetId="4">#REF!</definedName>
    <definedName name="______COD170">#REF!</definedName>
    <definedName name="______COD171" localSheetId="4">#REF!</definedName>
    <definedName name="______COD171">#REF!</definedName>
    <definedName name="______COD172" localSheetId="4">#REF!</definedName>
    <definedName name="______COD172">#REF!</definedName>
    <definedName name="______COD173" localSheetId="4">#REF!</definedName>
    <definedName name="______COD173">#REF!</definedName>
    <definedName name="______COD174" localSheetId="4">#REF!</definedName>
    <definedName name="______COD174">#REF!</definedName>
    <definedName name="______COD175" localSheetId="4">#REF!</definedName>
    <definedName name="______COD175">#REF!</definedName>
    <definedName name="______COD177" localSheetId="4">#REF!</definedName>
    <definedName name="______COD177">#REF!</definedName>
    <definedName name="______COD178" localSheetId="4">#REF!</definedName>
    <definedName name="______COD178">#REF!</definedName>
    <definedName name="______COD179" localSheetId="4">#REF!</definedName>
    <definedName name="______COD179">#REF!</definedName>
    <definedName name="______COD180" localSheetId="4">#REF!</definedName>
    <definedName name="______COD180">#REF!</definedName>
    <definedName name="______COD184" localSheetId="4">#REF!</definedName>
    <definedName name="______COD184">#REF!</definedName>
    <definedName name="______COD189" localSheetId="4">#REF!</definedName>
    <definedName name="______COD189">#REF!</definedName>
    <definedName name="______COD191" localSheetId="4">#REF!</definedName>
    <definedName name="______COD191">#REF!</definedName>
    <definedName name="______COD192" localSheetId="4">#REF!</definedName>
    <definedName name="______COD192">#REF!</definedName>
    <definedName name="______COD195" localSheetId="4">#REF!</definedName>
    <definedName name="______COD195">#REF!</definedName>
    <definedName name="______COD198" localSheetId="4">#REF!</definedName>
    <definedName name="______COD198">#REF!</definedName>
    <definedName name="______COD199" localSheetId="4">#REF!</definedName>
    <definedName name="______COD199">#REF!</definedName>
    <definedName name="______COD200" localSheetId="4">#REF!</definedName>
    <definedName name="______COD200">#REF!</definedName>
    <definedName name="______COD21" localSheetId="4">#REF!</definedName>
    <definedName name="______COD21">#REF!</definedName>
    <definedName name="______COD23" localSheetId="4">#REF!</definedName>
    <definedName name="______COD23">#REF!</definedName>
    <definedName name="______COD24" localSheetId="4">#REF!</definedName>
    <definedName name="______COD24">#REF!</definedName>
    <definedName name="______COD28" localSheetId="4">#REF!</definedName>
    <definedName name="______COD28">#REF!</definedName>
    <definedName name="______COD29" localSheetId="4">#REF!</definedName>
    <definedName name="______COD29">#REF!</definedName>
    <definedName name="______COD32" localSheetId="4">#REF!</definedName>
    <definedName name="______COD32">#REF!</definedName>
    <definedName name="______COD35" localSheetId="4">#REF!</definedName>
    <definedName name="______COD35">#REF!</definedName>
    <definedName name="______COD36" localSheetId="4">#REF!</definedName>
    <definedName name="______COD36">#REF!</definedName>
    <definedName name="______COD37" localSheetId="4">#REF!</definedName>
    <definedName name="______COD37">#REF!</definedName>
    <definedName name="______COD41" localSheetId="4">#REF!</definedName>
    <definedName name="______COD41">#REF!</definedName>
    <definedName name="______COD42" localSheetId="4">#REF!</definedName>
    <definedName name="______COD42">#REF!</definedName>
    <definedName name="______COD43" localSheetId="4">#REF!</definedName>
    <definedName name="______COD43">#REF!</definedName>
    <definedName name="______COD44" localSheetId="4">#REF!</definedName>
    <definedName name="______COD44">#REF!</definedName>
    <definedName name="______COD46" localSheetId="4">#REF!</definedName>
    <definedName name="______COD46">#REF!</definedName>
    <definedName name="______COD47" localSheetId="4">#REF!</definedName>
    <definedName name="______COD47">#REF!</definedName>
    <definedName name="______COD49" localSheetId="4">#REF!</definedName>
    <definedName name="______COD49">#REF!</definedName>
    <definedName name="______COD50" localSheetId="4">#REF!</definedName>
    <definedName name="______COD50">#REF!</definedName>
    <definedName name="______COD55" localSheetId="4">#REF!</definedName>
    <definedName name="______COD55">#REF!</definedName>
    <definedName name="______COD60" localSheetId="4">#REF!</definedName>
    <definedName name="______COD60">#REF!</definedName>
    <definedName name="______COD62" localSheetId="4">#REF!</definedName>
    <definedName name="______COD62">#REF!</definedName>
    <definedName name="______COD65" localSheetId="4">#REF!</definedName>
    <definedName name="______COD65">#REF!</definedName>
    <definedName name="______COD66" localSheetId="4">#REF!</definedName>
    <definedName name="______COD66">#REF!</definedName>
    <definedName name="______COD68" localSheetId="4">#REF!</definedName>
    <definedName name="______COD68">#REF!</definedName>
    <definedName name="______COD8" localSheetId="4">#REF!</definedName>
    <definedName name="______COD8">#REF!</definedName>
    <definedName name="______DAT11" localSheetId="4">#REF!</definedName>
    <definedName name="______DAT11">#REF!</definedName>
    <definedName name="______DAT12" localSheetId="4">#REF!</definedName>
    <definedName name="______DAT12">#REF!</definedName>
    <definedName name="______DAT13" localSheetId="4">#REF!</definedName>
    <definedName name="______DAT13">#REF!</definedName>
    <definedName name="______DAT15" localSheetId="4">#REF!</definedName>
    <definedName name="______DAT15">#REF!</definedName>
    <definedName name="______DAT16" localSheetId="4">#REF!</definedName>
    <definedName name="______DAT16">#REF!</definedName>
    <definedName name="______DAT3" localSheetId="4">#REF!</definedName>
    <definedName name="______DAT3">#REF!</definedName>
    <definedName name="______DAT4" localSheetId="4">#REF!</definedName>
    <definedName name="______DAT4">#REF!</definedName>
    <definedName name="______DAT5" localSheetId="4">#REF!</definedName>
    <definedName name="______DAT5">#REF!</definedName>
    <definedName name="______DAT6" localSheetId="4">#REF!</definedName>
    <definedName name="______DAT6">#REF!</definedName>
    <definedName name="______DAT7" localSheetId="4">#REF!</definedName>
    <definedName name="______DAT7">#REF!</definedName>
    <definedName name="______DAT8" localSheetId="4">#REF!</definedName>
    <definedName name="______DAT8">#REF!</definedName>
    <definedName name="______LUP1">#N/A</definedName>
    <definedName name="______LUP2">#N/A</definedName>
    <definedName name="______pl056" localSheetId="4">#REF!</definedName>
    <definedName name="______pl056">#REF!</definedName>
    <definedName name="______R">#N/A</definedName>
    <definedName name="_____bar1" localSheetId="4" hidden="1">{#N/A,#N/A,FALSE,"GERAL";#N/A,#N/A,FALSE,"012-96";#N/A,#N/A,FALSE,"018-96";#N/A,#N/A,FALSE,"027-96";#N/A,#N/A,FALSE,"059-96";#N/A,#N/A,FALSE,"076-96";#N/A,#N/A,FALSE,"019-97";#N/A,#N/A,FALSE,"021-97";#N/A,#N/A,FALSE,"022-97";#N/A,#N/A,FALSE,"028-97"}</definedName>
    <definedName name="_____bar1" hidden="1">{#N/A,#N/A,FALSE,"GERAL";#N/A,#N/A,FALSE,"012-96";#N/A,#N/A,FALSE,"018-96";#N/A,#N/A,FALSE,"027-96";#N/A,#N/A,FALSE,"059-96";#N/A,#N/A,FALSE,"076-96";#N/A,#N/A,FALSE,"019-97";#N/A,#N/A,FALSE,"021-97";#N/A,#N/A,FALSE,"022-97";#N/A,#N/A,FALSE,"028-97"}</definedName>
    <definedName name="_____COD1" localSheetId="4">#REF!</definedName>
    <definedName name="_____COD1">#REF!</definedName>
    <definedName name="_____COD10" localSheetId="4">#REF!</definedName>
    <definedName name="_____COD10">#REF!</definedName>
    <definedName name="_____COD11" localSheetId="4">#REF!</definedName>
    <definedName name="_____COD11">#REF!</definedName>
    <definedName name="_____COD13" localSheetId="4">#REF!</definedName>
    <definedName name="_____COD13">#REF!</definedName>
    <definedName name="_____COD138" localSheetId="4">#REF!</definedName>
    <definedName name="_____COD138">#REF!</definedName>
    <definedName name="_____COD140" localSheetId="4">#REF!</definedName>
    <definedName name="_____COD140">#REF!</definedName>
    <definedName name="_____COD144" localSheetId="4">#REF!</definedName>
    <definedName name="_____COD144">#REF!</definedName>
    <definedName name="_____COD146" localSheetId="4">#REF!</definedName>
    <definedName name="_____COD146">#REF!</definedName>
    <definedName name="_____COD149" localSheetId="4">#REF!</definedName>
    <definedName name="_____COD149">#REF!</definedName>
    <definedName name="_____COD152" localSheetId="4">#REF!</definedName>
    <definedName name="_____COD152">#REF!</definedName>
    <definedName name="_____COD154" localSheetId="4">#REF!</definedName>
    <definedName name="_____COD154">#REF!</definedName>
    <definedName name="_____COD155" localSheetId="4">#REF!</definedName>
    <definedName name="_____COD155">#REF!</definedName>
    <definedName name="_____COD156" localSheetId="4">#REF!</definedName>
    <definedName name="_____COD156">#REF!</definedName>
    <definedName name="_____COD157" localSheetId="4">#REF!</definedName>
    <definedName name="_____COD157">#REF!</definedName>
    <definedName name="_____COD158" localSheetId="4">#REF!</definedName>
    <definedName name="_____COD158">#REF!</definedName>
    <definedName name="_____COD16" localSheetId="4">#REF!</definedName>
    <definedName name="_____COD16">#REF!</definedName>
    <definedName name="_____COD161" localSheetId="4">#REF!</definedName>
    <definedName name="_____COD161">#REF!</definedName>
    <definedName name="_____COD166" localSheetId="4">#REF!</definedName>
    <definedName name="_____COD166">#REF!</definedName>
    <definedName name="_____COD168" localSheetId="4">#REF!</definedName>
    <definedName name="_____COD168">#REF!</definedName>
    <definedName name="_____COD169" localSheetId="4">#REF!</definedName>
    <definedName name="_____COD169">#REF!</definedName>
    <definedName name="_____COD17" localSheetId="4">#REF!</definedName>
    <definedName name="_____COD17">#REF!</definedName>
    <definedName name="_____COD170" localSheetId="4">#REF!</definedName>
    <definedName name="_____COD170">#REF!</definedName>
    <definedName name="_____COD171" localSheetId="4">#REF!</definedName>
    <definedName name="_____COD171">#REF!</definedName>
    <definedName name="_____COD172" localSheetId="4">#REF!</definedName>
    <definedName name="_____COD172">#REF!</definedName>
    <definedName name="_____COD173" localSheetId="4">#REF!</definedName>
    <definedName name="_____COD173">#REF!</definedName>
    <definedName name="_____COD174" localSheetId="4">#REF!</definedName>
    <definedName name="_____COD174">#REF!</definedName>
    <definedName name="_____COD175" localSheetId="4">#REF!</definedName>
    <definedName name="_____COD175">#REF!</definedName>
    <definedName name="_____COD177" localSheetId="4">#REF!</definedName>
    <definedName name="_____COD177">#REF!</definedName>
    <definedName name="_____COD178" localSheetId="4">#REF!</definedName>
    <definedName name="_____COD178">#REF!</definedName>
    <definedName name="_____COD179" localSheetId="4">#REF!</definedName>
    <definedName name="_____COD179">#REF!</definedName>
    <definedName name="_____COD180" localSheetId="4">#REF!</definedName>
    <definedName name="_____COD180">#REF!</definedName>
    <definedName name="_____COD184" localSheetId="4">#REF!</definedName>
    <definedName name="_____COD184">#REF!</definedName>
    <definedName name="_____COD189" localSheetId="4">#REF!</definedName>
    <definedName name="_____COD189">#REF!</definedName>
    <definedName name="_____COD191" localSheetId="4">#REF!</definedName>
    <definedName name="_____COD191">#REF!</definedName>
    <definedName name="_____COD192" localSheetId="4">#REF!</definedName>
    <definedName name="_____COD192">#REF!</definedName>
    <definedName name="_____COD195" localSheetId="4">#REF!</definedName>
    <definedName name="_____COD195">#REF!</definedName>
    <definedName name="_____COD198" localSheetId="4">#REF!</definedName>
    <definedName name="_____COD198">#REF!</definedName>
    <definedName name="_____COD199" localSheetId="4">#REF!</definedName>
    <definedName name="_____COD199">#REF!</definedName>
    <definedName name="_____COD200" localSheetId="4">#REF!</definedName>
    <definedName name="_____COD200">#REF!</definedName>
    <definedName name="_____COD21" localSheetId="4">#REF!</definedName>
    <definedName name="_____COD21">#REF!</definedName>
    <definedName name="_____COD23" localSheetId="4">#REF!</definedName>
    <definedName name="_____COD23">#REF!</definedName>
    <definedName name="_____COD24" localSheetId="4">#REF!</definedName>
    <definedName name="_____COD24">#REF!</definedName>
    <definedName name="_____COD28" localSheetId="4">#REF!</definedName>
    <definedName name="_____COD28">#REF!</definedName>
    <definedName name="_____COD29" localSheetId="4">#REF!</definedName>
    <definedName name="_____COD29">#REF!</definedName>
    <definedName name="_____COD32" localSheetId="4">#REF!</definedName>
    <definedName name="_____COD32">#REF!</definedName>
    <definedName name="_____COD35" localSheetId="4">#REF!</definedName>
    <definedName name="_____COD35">#REF!</definedName>
    <definedName name="_____COD36" localSheetId="4">#REF!</definedName>
    <definedName name="_____COD36">#REF!</definedName>
    <definedName name="_____COD37" localSheetId="4">#REF!</definedName>
    <definedName name="_____COD37">#REF!</definedName>
    <definedName name="_____COD41" localSheetId="4">#REF!</definedName>
    <definedName name="_____COD41">#REF!</definedName>
    <definedName name="_____COD42" localSheetId="4">#REF!</definedName>
    <definedName name="_____COD42">#REF!</definedName>
    <definedName name="_____COD43" localSheetId="4">#REF!</definedName>
    <definedName name="_____COD43">#REF!</definedName>
    <definedName name="_____COD44" localSheetId="4">#REF!</definedName>
    <definedName name="_____COD44">#REF!</definedName>
    <definedName name="_____COD46" localSheetId="4">#REF!</definedName>
    <definedName name="_____COD46">#REF!</definedName>
    <definedName name="_____COD47" localSheetId="4">#REF!</definedName>
    <definedName name="_____COD47">#REF!</definedName>
    <definedName name="_____COD49" localSheetId="4">#REF!</definedName>
    <definedName name="_____COD49">#REF!</definedName>
    <definedName name="_____COD50" localSheetId="4">#REF!</definedName>
    <definedName name="_____COD50">#REF!</definedName>
    <definedName name="_____COD55" localSheetId="4">#REF!</definedName>
    <definedName name="_____COD55">#REF!</definedName>
    <definedName name="_____COD60" localSheetId="4">#REF!</definedName>
    <definedName name="_____COD60">#REF!</definedName>
    <definedName name="_____COD62" localSheetId="4">#REF!</definedName>
    <definedName name="_____COD62">#REF!</definedName>
    <definedName name="_____COD65" localSheetId="4">#REF!</definedName>
    <definedName name="_____COD65">#REF!</definedName>
    <definedName name="_____COD66" localSheetId="4">#REF!</definedName>
    <definedName name="_____COD66">#REF!</definedName>
    <definedName name="_____COD68" localSheetId="4">#REF!</definedName>
    <definedName name="_____COD68">#REF!</definedName>
    <definedName name="_____COD8" localSheetId="4">#REF!</definedName>
    <definedName name="_____COD8">#REF!</definedName>
    <definedName name="_____DAT11" localSheetId="4">#REF!</definedName>
    <definedName name="_____DAT11">#REF!</definedName>
    <definedName name="_____DAT12" localSheetId="4">#REF!</definedName>
    <definedName name="_____DAT12">#REF!</definedName>
    <definedName name="_____DAT13" localSheetId="4">#REF!</definedName>
    <definedName name="_____DAT13">#REF!</definedName>
    <definedName name="_____DAT15" localSheetId="4">#REF!</definedName>
    <definedName name="_____DAT15">#REF!</definedName>
    <definedName name="_____DAT16" localSheetId="4">#REF!</definedName>
    <definedName name="_____DAT16">#REF!</definedName>
    <definedName name="_____DAT3" localSheetId="4">#REF!</definedName>
    <definedName name="_____DAT3">#REF!</definedName>
    <definedName name="_____DAT4" localSheetId="4">#REF!</definedName>
    <definedName name="_____DAT4">#REF!</definedName>
    <definedName name="_____DAT5" localSheetId="4">#REF!</definedName>
    <definedName name="_____DAT5">#REF!</definedName>
    <definedName name="_____DAT6" localSheetId="4">#REF!</definedName>
    <definedName name="_____DAT6">#REF!</definedName>
    <definedName name="_____DAT7" localSheetId="4">#REF!</definedName>
    <definedName name="_____DAT7">#REF!</definedName>
    <definedName name="_____DAT8" localSheetId="4">#REF!</definedName>
    <definedName name="_____DAT8">#REF!</definedName>
    <definedName name="_____LUP1">#N/A</definedName>
    <definedName name="_____LUP2">#N/A</definedName>
    <definedName name="_____pl056" localSheetId="4">#REF!</definedName>
    <definedName name="_____pl056">#REF!</definedName>
    <definedName name="_____R">#N/A</definedName>
    <definedName name="_____xlnm.Print_Titles_18" localSheetId="4">#REF!</definedName>
    <definedName name="_____xlnm.Print_Titles_18">#REF!</definedName>
    <definedName name="____bar1" localSheetId="4" hidden="1">{#N/A,#N/A,FALSE,"GERAL";#N/A,#N/A,FALSE,"012-96";#N/A,#N/A,FALSE,"018-96";#N/A,#N/A,FALSE,"027-96";#N/A,#N/A,FALSE,"059-96";#N/A,#N/A,FALSE,"076-96";#N/A,#N/A,FALSE,"019-97";#N/A,#N/A,FALSE,"021-97";#N/A,#N/A,FALSE,"022-97";#N/A,#N/A,FALSE,"028-97"}</definedName>
    <definedName name="____bar1" hidden="1">{#N/A,#N/A,FALSE,"GERAL";#N/A,#N/A,FALSE,"012-96";#N/A,#N/A,FALSE,"018-96";#N/A,#N/A,FALSE,"027-96";#N/A,#N/A,FALSE,"059-96";#N/A,#N/A,FALSE,"076-96";#N/A,#N/A,FALSE,"019-97";#N/A,#N/A,FALSE,"021-97";#N/A,#N/A,FALSE,"022-97";#N/A,#N/A,FALSE,"028-97"}</definedName>
    <definedName name="____COD1" localSheetId="4">#REF!</definedName>
    <definedName name="____COD1">#REF!</definedName>
    <definedName name="____COD10" localSheetId="4">#REF!</definedName>
    <definedName name="____COD10">#REF!</definedName>
    <definedName name="____COD11" localSheetId="4">#REF!</definedName>
    <definedName name="____COD11">#REF!</definedName>
    <definedName name="____COD13" localSheetId="4">#REF!</definedName>
    <definedName name="____COD13">#REF!</definedName>
    <definedName name="____COD138" localSheetId="4">#REF!</definedName>
    <definedName name="____COD138">#REF!</definedName>
    <definedName name="____COD140" localSheetId="4">#REF!</definedName>
    <definedName name="____COD140">#REF!</definedName>
    <definedName name="____COD144" localSheetId="4">#REF!</definedName>
    <definedName name="____COD144">#REF!</definedName>
    <definedName name="____COD146" localSheetId="4">#REF!</definedName>
    <definedName name="____COD146">#REF!</definedName>
    <definedName name="____COD149" localSheetId="4">#REF!</definedName>
    <definedName name="____COD149">#REF!</definedName>
    <definedName name="____COD152" localSheetId="4">#REF!</definedName>
    <definedName name="____COD152">#REF!</definedName>
    <definedName name="____COD154" localSheetId="4">#REF!</definedName>
    <definedName name="____COD154">#REF!</definedName>
    <definedName name="____COD155" localSheetId="4">#REF!</definedName>
    <definedName name="____COD155">#REF!</definedName>
    <definedName name="____COD156" localSheetId="4">#REF!</definedName>
    <definedName name="____COD156">#REF!</definedName>
    <definedName name="____COD157" localSheetId="4">#REF!</definedName>
    <definedName name="____COD157">#REF!</definedName>
    <definedName name="____COD158" localSheetId="4">#REF!</definedName>
    <definedName name="____COD158">#REF!</definedName>
    <definedName name="____COD16" localSheetId="4">#REF!</definedName>
    <definedName name="____COD16">#REF!</definedName>
    <definedName name="____COD161" localSheetId="4">#REF!</definedName>
    <definedName name="____COD161">#REF!</definedName>
    <definedName name="____COD166" localSheetId="4">#REF!</definedName>
    <definedName name="____COD166">#REF!</definedName>
    <definedName name="____COD168" localSheetId="4">#REF!</definedName>
    <definedName name="____COD168">#REF!</definedName>
    <definedName name="____COD169" localSheetId="4">#REF!</definedName>
    <definedName name="____COD169">#REF!</definedName>
    <definedName name="____COD17" localSheetId="4">#REF!</definedName>
    <definedName name="____COD17">#REF!</definedName>
    <definedName name="____COD170" localSheetId="4">#REF!</definedName>
    <definedName name="____COD170">#REF!</definedName>
    <definedName name="____COD171" localSheetId="4">#REF!</definedName>
    <definedName name="____COD171">#REF!</definedName>
    <definedName name="____COD172" localSheetId="4">#REF!</definedName>
    <definedName name="____COD172">#REF!</definedName>
    <definedName name="____COD173" localSheetId="4">#REF!</definedName>
    <definedName name="____COD173">#REF!</definedName>
    <definedName name="____COD174" localSheetId="4">#REF!</definedName>
    <definedName name="____COD174">#REF!</definedName>
    <definedName name="____COD175" localSheetId="4">#REF!</definedName>
    <definedName name="____COD175">#REF!</definedName>
    <definedName name="____COD177" localSheetId="4">#REF!</definedName>
    <definedName name="____COD177">#REF!</definedName>
    <definedName name="____COD178" localSheetId="4">#REF!</definedName>
    <definedName name="____COD178">#REF!</definedName>
    <definedName name="____COD179" localSheetId="4">#REF!</definedName>
    <definedName name="____COD179">#REF!</definedName>
    <definedName name="____COD180" localSheetId="4">#REF!</definedName>
    <definedName name="____COD180">#REF!</definedName>
    <definedName name="____COD184" localSheetId="4">#REF!</definedName>
    <definedName name="____COD184">#REF!</definedName>
    <definedName name="____COD189" localSheetId="4">#REF!</definedName>
    <definedName name="____COD189">#REF!</definedName>
    <definedName name="____COD191" localSheetId="4">#REF!</definedName>
    <definedName name="____COD191">#REF!</definedName>
    <definedName name="____COD192" localSheetId="4">#REF!</definedName>
    <definedName name="____COD192">#REF!</definedName>
    <definedName name="____COD195" localSheetId="4">#REF!</definedName>
    <definedName name="____COD195">#REF!</definedName>
    <definedName name="____COD198" localSheetId="4">#REF!</definedName>
    <definedName name="____COD198">#REF!</definedName>
    <definedName name="____COD199" localSheetId="4">#REF!</definedName>
    <definedName name="____COD199">#REF!</definedName>
    <definedName name="____COD200" localSheetId="4">#REF!</definedName>
    <definedName name="____COD200">#REF!</definedName>
    <definedName name="____COD21" localSheetId="4">#REF!</definedName>
    <definedName name="____COD21">#REF!</definedName>
    <definedName name="____COD23" localSheetId="4">#REF!</definedName>
    <definedName name="____COD23">#REF!</definedName>
    <definedName name="____COD24" localSheetId="4">#REF!</definedName>
    <definedName name="____COD24">#REF!</definedName>
    <definedName name="____COD28" localSheetId="4">#REF!</definedName>
    <definedName name="____COD28">#REF!</definedName>
    <definedName name="____COD29" localSheetId="4">#REF!</definedName>
    <definedName name="____COD29">#REF!</definedName>
    <definedName name="____COD32" localSheetId="4">#REF!</definedName>
    <definedName name="____COD32">#REF!</definedName>
    <definedName name="____COD35" localSheetId="4">#REF!</definedName>
    <definedName name="____COD35">#REF!</definedName>
    <definedName name="____COD36" localSheetId="4">#REF!</definedName>
    <definedName name="____COD36">#REF!</definedName>
    <definedName name="____COD37" localSheetId="4">#REF!</definedName>
    <definedName name="____COD37">#REF!</definedName>
    <definedName name="____COD41" localSheetId="4">#REF!</definedName>
    <definedName name="____COD41">#REF!</definedName>
    <definedName name="____COD42" localSheetId="4">#REF!</definedName>
    <definedName name="____COD42">#REF!</definedName>
    <definedName name="____COD43" localSheetId="4">#REF!</definedName>
    <definedName name="____COD43">#REF!</definedName>
    <definedName name="____COD44" localSheetId="4">#REF!</definedName>
    <definedName name="____COD44">#REF!</definedName>
    <definedName name="____COD46" localSheetId="4">#REF!</definedName>
    <definedName name="____COD46">#REF!</definedName>
    <definedName name="____COD47" localSheetId="4">#REF!</definedName>
    <definedName name="____COD47">#REF!</definedName>
    <definedName name="____COD49" localSheetId="4">#REF!</definedName>
    <definedName name="____COD49">#REF!</definedName>
    <definedName name="____COD50" localSheetId="4">#REF!</definedName>
    <definedName name="____COD50">#REF!</definedName>
    <definedName name="____COD55" localSheetId="4">#REF!</definedName>
    <definedName name="____COD55">#REF!</definedName>
    <definedName name="____COD60" localSheetId="4">#REF!</definedName>
    <definedName name="____COD60">#REF!</definedName>
    <definedName name="____COD62" localSheetId="4">#REF!</definedName>
    <definedName name="____COD62">#REF!</definedName>
    <definedName name="____COD65" localSheetId="4">#REF!</definedName>
    <definedName name="____COD65">#REF!</definedName>
    <definedName name="____COD66" localSheetId="4">#REF!</definedName>
    <definedName name="____COD66">#REF!</definedName>
    <definedName name="____COD68" localSheetId="4">#REF!</definedName>
    <definedName name="____COD68">#REF!</definedName>
    <definedName name="____COD8" localSheetId="4">#REF!</definedName>
    <definedName name="____COD8">#REF!</definedName>
    <definedName name="____DAT11" localSheetId="4">#REF!</definedName>
    <definedName name="____DAT11">#REF!</definedName>
    <definedName name="____DAT12" localSheetId="4">#REF!</definedName>
    <definedName name="____DAT12">#REF!</definedName>
    <definedName name="____DAT13" localSheetId="4">#REF!</definedName>
    <definedName name="____DAT13">#REF!</definedName>
    <definedName name="____DAT15" localSheetId="4">#REF!</definedName>
    <definedName name="____DAT15">#REF!</definedName>
    <definedName name="____DAT16" localSheetId="4">#REF!</definedName>
    <definedName name="____DAT16">#REF!</definedName>
    <definedName name="____DAT3" localSheetId="4">#REF!</definedName>
    <definedName name="____DAT3">#REF!</definedName>
    <definedName name="____DAT4" localSheetId="4">#REF!</definedName>
    <definedName name="____DAT4">#REF!</definedName>
    <definedName name="____DAT5" localSheetId="4">#REF!</definedName>
    <definedName name="____DAT5">#REF!</definedName>
    <definedName name="____DAT6" localSheetId="4">#REF!</definedName>
    <definedName name="____DAT6">#REF!</definedName>
    <definedName name="____DAT7" localSheetId="4">#REF!</definedName>
    <definedName name="____DAT7">#REF!</definedName>
    <definedName name="____DAT8" localSheetId="4">#REF!</definedName>
    <definedName name="____DAT8">#REF!</definedName>
    <definedName name="____LUP1">#N/A</definedName>
    <definedName name="____LUP2">#N/A</definedName>
    <definedName name="____pl056" localSheetId="4">#REF!</definedName>
    <definedName name="____pl056">#REF!</definedName>
    <definedName name="____R">#N/A</definedName>
    <definedName name="____xlnm.Print_Titles_18" localSheetId="4">#REF!</definedName>
    <definedName name="____xlnm.Print_Titles_18">#REF!</definedName>
    <definedName name="___bar1" localSheetId="4" hidden="1">{#N/A,#N/A,FALSE,"GERAL";#N/A,#N/A,FALSE,"012-96";#N/A,#N/A,FALSE,"018-96";#N/A,#N/A,FALSE,"027-96";#N/A,#N/A,FALSE,"059-96";#N/A,#N/A,FALSE,"076-96";#N/A,#N/A,FALSE,"019-97";#N/A,#N/A,FALSE,"021-97";#N/A,#N/A,FALSE,"022-97";#N/A,#N/A,FALSE,"028-97"}</definedName>
    <definedName name="___bar1" hidden="1">{#N/A,#N/A,FALSE,"GERAL";#N/A,#N/A,FALSE,"012-96";#N/A,#N/A,FALSE,"018-96";#N/A,#N/A,FALSE,"027-96";#N/A,#N/A,FALSE,"059-96";#N/A,#N/A,FALSE,"076-96";#N/A,#N/A,FALSE,"019-97";#N/A,#N/A,FALSE,"021-97";#N/A,#N/A,FALSE,"022-97";#N/A,#N/A,FALSE,"028-97"}</definedName>
    <definedName name="___COD1" localSheetId="4">#REF!</definedName>
    <definedName name="___COD1">#REF!</definedName>
    <definedName name="___COD10" localSheetId="4">#REF!</definedName>
    <definedName name="___COD10">#REF!</definedName>
    <definedName name="___COD11" localSheetId="4">#REF!</definedName>
    <definedName name="___COD11">#REF!</definedName>
    <definedName name="___COD13" localSheetId="4">#REF!</definedName>
    <definedName name="___COD13">#REF!</definedName>
    <definedName name="___COD138" localSheetId="4">#REF!</definedName>
    <definedName name="___COD138">#REF!</definedName>
    <definedName name="___COD140" localSheetId="4">#REF!</definedName>
    <definedName name="___COD140">#REF!</definedName>
    <definedName name="___COD144" localSheetId="4">#REF!</definedName>
    <definedName name="___COD144">#REF!</definedName>
    <definedName name="___COD146" localSheetId="4">#REF!</definedName>
    <definedName name="___COD146">#REF!</definedName>
    <definedName name="___COD149" localSheetId="4">#REF!</definedName>
    <definedName name="___COD149">#REF!</definedName>
    <definedName name="___COD152" localSheetId="4">#REF!</definedName>
    <definedName name="___COD152">#REF!</definedName>
    <definedName name="___COD154" localSheetId="4">#REF!</definedName>
    <definedName name="___COD154">#REF!</definedName>
    <definedName name="___COD155" localSheetId="4">#REF!</definedName>
    <definedName name="___COD155">#REF!</definedName>
    <definedName name="___COD156" localSheetId="4">#REF!</definedName>
    <definedName name="___COD156">#REF!</definedName>
    <definedName name="___COD157" localSheetId="4">#REF!</definedName>
    <definedName name="___COD157">#REF!</definedName>
    <definedName name="___COD158" localSheetId="4">#REF!</definedName>
    <definedName name="___COD158">#REF!</definedName>
    <definedName name="___COD16" localSheetId="4">#REF!</definedName>
    <definedName name="___COD16">#REF!</definedName>
    <definedName name="___COD161" localSheetId="4">#REF!</definedName>
    <definedName name="___COD161">#REF!</definedName>
    <definedName name="___COD166" localSheetId="4">#REF!</definedName>
    <definedName name="___COD166">#REF!</definedName>
    <definedName name="___COD168" localSheetId="4">#REF!</definedName>
    <definedName name="___COD168">#REF!</definedName>
    <definedName name="___COD169" localSheetId="4">#REF!</definedName>
    <definedName name="___COD169">#REF!</definedName>
    <definedName name="___COD17" localSheetId="4">#REF!</definedName>
    <definedName name="___COD17">#REF!</definedName>
    <definedName name="___COD170" localSheetId="4">#REF!</definedName>
    <definedName name="___COD170">#REF!</definedName>
    <definedName name="___COD171" localSheetId="4">#REF!</definedName>
    <definedName name="___COD171">#REF!</definedName>
    <definedName name="___COD172" localSheetId="4">#REF!</definedName>
    <definedName name="___COD172">#REF!</definedName>
    <definedName name="___COD173" localSheetId="4">#REF!</definedName>
    <definedName name="___COD173">#REF!</definedName>
    <definedName name="___COD174" localSheetId="4">#REF!</definedName>
    <definedName name="___COD174">#REF!</definedName>
    <definedName name="___COD175" localSheetId="4">#REF!</definedName>
    <definedName name="___COD175">#REF!</definedName>
    <definedName name="___COD177" localSheetId="4">#REF!</definedName>
    <definedName name="___COD177">#REF!</definedName>
    <definedName name="___COD178" localSheetId="4">#REF!</definedName>
    <definedName name="___COD178">#REF!</definedName>
    <definedName name="___COD179" localSheetId="4">#REF!</definedName>
    <definedName name="___COD179">#REF!</definedName>
    <definedName name="___COD180" localSheetId="4">#REF!</definedName>
    <definedName name="___COD180">#REF!</definedName>
    <definedName name="___COD184" localSheetId="4">#REF!</definedName>
    <definedName name="___COD184">#REF!</definedName>
    <definedName name="___COD189" localSheetId="4">#REF!</definedName>
    <definedName name="___COD189">#REF!</definedName>
    <definedName name="___COD191" localSheetId="4">#REF!</definedName>
    <definedName name="___COD191">#REF!</definedName>
    <definedName name="___COD192" localSheetId="4">#REF!</definedName>
    <definedName name="___COD192">#REF!</definedName>
    <definedName name="___COD195" localSheetId="4">#REF!</definedName>
    <definedName name="___COD195">#REF!</definedName>
    <definedName name="___COD198" localSheetId="4">#REF!</definedName>
    <definedName name="___COD198">#REF!</definedName>
    <definedName name="___COD199" localSheetId="4">#REF!</definedName>
    <definedName name="___COD199">#REF!</definedName>
    <definedName name="___COD200" localSheetId="4">#REF!</definedName>
    <definedName name="___COD200">#REF!</definedName>
    <definedName name="___COD21" localSheetId="4">#REF!</definedName>
    <definedName name="___COD21">#REF!</definedName>
    <definedName name="___COD23" localSheetId="4">#REF!</definedName>
    <definedName name="___COD23">#REF!</definedName>
    <definedName name="___COD24" localSheetId="4">#REF!</definedName>
    <definedName name="___COD24">#REF!</definedName>
    <definedName name="___COD28" localSheetId="4">#REF!</definedName>
    <definedName name="___COD28">#REF!</definedName>
    <definedName name="___COD29" localSheetId="4">#REF!</definedName>
    <definedName name="___COD29">#REF!</definedName>
    <definedName name="___COD32" localSheetId="4">#REF!</definedName>
    <definedName name="___COD32">#REF!</definedName>
    <definedName name="___COD35" localSheetId="4">#REF!</definedName>
    <definedName name="___COD35">#REF!</definedName>
    <definedName name="___COD36" localSheetId="4">#REF!</definedName>
    <definedName name="___COD36">#REF!</definedName>
    <definedName name="___COD37" localSheetId="4">#REF!</definedName>
    <definedName name="___COD37">#REF!</definedName>
    <definedName name="___COD41" localSheetId="4">#REF!</definedName>
    <definedName name="___COD41">#REF!</definedName>
    <definedName name="___COD42" localSheetId="4">#REF!</definedName>
    <definedName name="___COD42">#REF!</definedName>
    <definedName name="___COD43" localSheetId="4">#REF!</definedName>
    <definedName name="___COD43">#REF!</definedName>
    <definedName name="___COD44" localSheetId="4">#REF!</definedName>
    <definedName name="___COD44">#REF!</definedName>
    <definedName name="___COD46" localSheetId="4">#REF!</definedName>
    <definedName name="___COD46">#REF!</definedName>
    <definedName name="___COD47" localSheetId="4">#REF!</definedName>
    <definedName name="___COD47">#REF!</definedName>
    <definedName name="___COD49" localSheetId="4">#REF!</definedName>
    <definedName name="___COD49">#REF!</definedName>
    <definedName name="___COD50" localSheetId="4">#REF!</definedName>
    <definedName name="___COD50">#REF!</definedName>
    <definedName name="___COD55" localSheetId="4">#REF!</definedName>
    <definedName name="___COD55">#REF!</definedName>
    <definedName name="___COD60" localSheetId="4">#REF!</definedName>
    <definedName name="___COD60">#REF!</definedName>
    <definedName name="___COD62" localSheetId="4">#REF!</definedName>
    <definedName name="___COD62">#REF!</definedName>
    <definedName name="___COD65" localSheetId="4">#REF!</definedName>
    <definedName name="___COD65">#REF!</definedName>
    <definedName name="___COD66" localSheetId="4">#REF!</definedName>
    <definedName name="___COD66">#REF!</definedName>
    <definedName name="___COD68" localSheetId="4">#REF!</definedName>
    <definedName name="___COD68">#REF!</definedName>
    <definedName name="___COD8" localSheetId="4">#REF!</definedName>
    <definedName name="___COD8">#REF!</definedName>
    <definedName name="___DAT11" localSheetId="4">#REF!</definedName>
    <definedName name="___DAT11">#REF!</definedName>
    <definedName name="___DAT12" localSheetId="4">#REF!</definedName>
    <definedName name="___DAT12">#REF!</definedName>
    <definedName name="___DAT13" localSheetId="4">#REF!</definedName>
    <definedName name="___DAT13">#REF!</definedName>
    <definedName name="___DAT15" localSheetId="4">#REF!</definedName>
    <definedName name="___DAT15">#REF!</definedName>
    <definedName name="___DAT16" localSheetId="4">#REF!</definedName>
    <definedName name="___DAT16">#REF!</definedName>
    <definedName name="___DAT3" localSheetId="4">#REF!</definedName>
    <definedName name="___DAT3">#REF!</definedName>
    <definedName name="___DAT4" localSheetId="4">#REF!</definedName>
    <definedName name="___DAT4">#REF!</definedName>
    <definedName name="___DAT5" localSheetId="4">#REF!</definedName>
    <definedName name="___DAT5">#REF!</definedName>
    <definedName name="___DAT6" localSheetId="4">#REF!</definedName>
    <definedName name="___DAT6">#REF!</definedName>
    <definedName name="___DAT7" localSheetId="4">#REF!</definedName>
    <definedName name="___DAT7">#REF!</definedName>
    <definedName name="___DAT8" localSheetId="4">#REF!</definedName>
    <definedName name="___DAT8">#REF!</definedName>
    <definedName name="___LUP1">#N/A</definedName>
    <definedName name="___LUP2">#N/A</definedName>
    <definedName name="___pl056" localSheetId="4">#REF!</definedName>
    <definedName name="___pl056">#REF!</definedName>
    <definedName name="___R">#N/A</definedName>
    <definedName name="___xlnm.Print_Titles_18" localSheetId="4">#REF!</definedName>
    <definedName name="___xlnm.Print_Titles_18">#REF!</definedName>
    <definedName name="__123Graph_A" localSheetId="4" hidden="1">#REF!</definedName>
    <definedName name="__123Graph_A" hidden="1">#REF!</definedName>
    <definedName name="__123Graph_ACUSTO" localSheetId="4" hidden="1">#REF!</definedName>
    <definedName name="__123Graph_ACUSTO" hidden="1">#REF!</definedName>
    <definedName name="__123Graph_AFAT" localSheetId="4" hidden="1">#REF!</definedName>
    <definedName name="__123Graph_AFAT" hidden="1">#REF!</definedName>
    <definedName name="__123Graph_ARES" localSheetId="4" hidden="1">#REF!</definedName>
    <definedName name="__123Graph_ARES" hidden="1">#REF!</definedName>
    <definedName name="__123Graph_B" hidden="1">#REF!</definedName>
    <definedName name="__123Graph_BCUSTO" localSheetId="4" hidden="1">#REF!</definedName>
    <definedName name="__123Graph_BCUSTO" hidden="1">#REF!</definedName>
    <definedName name="__123Graph_BFAT" localSheetId="4" hidden="1">#REF!</definedName>
    <definedName name="__123Graph_BFAT" hidden="1">#REF!</definedName>
    <definedName name="__123Graph_BRES" localSheetId="4" hidden="1">#REF!</definedName>
    <definedName name="__123Graph_BRES" hidden="1">#REF!</definedName>
    <definedName name="__123Graph_C" hidden="1">#REF!</definedName>
    <definedName name="__123Graph_D" hidden="1">#REF!</definedName>
    <definedName name="__123Graph_E" hidden="1">#REF!</definedName>
    <definedName name="__123Graph_F" hidden="1">#REF!</definedName>
    <definedName name="__123Graph_X" hidden="1">#REF!</definedName>
    <definedName name="__123Graph_XCUSTO" localSheetId="4" hidden="1">#REF!</definedName>
    <definedName name="__123Graph_XCUSTO" hidden="1">#REF!</definedName>
    <definedName name="__123Graph_XFAT" localSheetId="4" hidden="1">#REF!</definedName>
    <definedName name="__123Graph_XFAT" hidden="1">#REF!</definedName>
    <definedName name="__123Graph_XRES" localSheetId="4" hidden="1">#REF!</definedName>
    <definedName name="__123Graph_XRES" hidden="1">#REF!</definedName>
    <definedName name="__A1">#REF!</definedName>
    <definedName name="__bar1" localSheetId="4" hidden="1">{#N/A,#N/A,FALSE,"GERAL";#N/A,#N/A,FALSE,"012-96";#N/A,#N/A,FALSE,"018-96";#N/A,#N/A,FALSE,"027-96";#N/A,#N/A,FALSE,"059-96";#N/A,#N/A,FALSE,"076-96";#N/A,#N/A,FALSE,"019-97";#N/A,#N/A,FALSE,"021-97";#N/A,#N/A,FALSE,"022-97";#N/A,#N/A,FALSE,"028-97"}</definedName>
    <definedName name="__bar1" hidden="1">{#N/A,#N/A,FALSE,"GERAL";#N/A,#N/A,FALSE,"012-96";#N/A,#N/A,FALSE,"018-96";#N/A,#N/A,FALSE,"027-96";#N/A,#N/A,FALSE,"059-96";#N/A,#N/A,FALSE,"076-96";#N/A,#N/A,FALSE,"019-97";#N/A,#N/A,FALSE,"021-97";#N/A,#N/A,FALSE,"022-97";#N/A,#N/A,FALSE,"028-97"}</definedName>
    <definedName name="__bookmark_2">#REF!</definedName>
    <definedName name="__bookmark_3">#REF!</definedName>
    <definedName name="__bookmark_4">#REF!</definedName>
    <definedName name="__cab1">#REF!</definedName>
    <definedName name="__COD1" localSheetId="4">#REF!</definedName>
    <definedName name="__COD1">#REF!</definedName>
    <definedName name="__COD10" localSheetId="4">#REF!</definedName>
    <definedName name="__COD10">#REF!</definedName>
    <definedName name="__COD11" localSheetId="4">#REF!</definedName>
    <definedName name="__COD11">#REF!</definedName>
    <definedName name="__COD13" localSheetId="4">#REF!</definedName>
    <definedName name="__COD13">#REF!</definedName>
    <definedName name="__COD138" localSheetId="4">#REF!</definedName>
    <definedName name="__COD138">#REF!</definedName>
    <definedName name="__COD140" localSheetId="4">#REF!</definedName>
    <definedName name="__COD140">#REF!</definedName>
    <definedName name="__COD144" localSheetId="4">#REF!</definedName>
    <definedName name="__COD144">#REF!</definedName>
    <definedName name="__COD146" localSheetId="4">#REF!</definedName>
    <definedName name="__COD146">#REF!</definedName>
    <definedName name="__COD149" localSheetId="4">#REF!</definedName>
    <definedName name="__COD149">#REF!</definedName>
    <definedName name="__COD152" localSheetId="4">#REF!</definedName>
    <definedName name="__COD152">#REF!</definedName>
    <definedName name="__COD154" localSheetId="4">#REF!</definedName>
    <definedName name="__COD154">#REF!</definedName>
    <definedName name="__COD155" localSheetId="4">#REF!</definedName>
    <definedName name="__COD155">#REF!</definedName>
    <definedName name="__COD156" localSheetId="4">#REF!</definedName>
    <definedName name="__COD156">#REF!</definedName>
    <definedName name="__COD157" localSheetId="4">#REF!</definedName>
    <definedName name="__COD157">#REF!</definedName>
    <definedName name="__COD158" localSheetId="4">#REF!</definedName>
    <definedName name="__COD158">#REF!</definedName>
    <definedName name="__COD16" localSheetId="4">#REF!</definedName>
    <definedName name="__COD16">#REF!</definedName>
    <definedName name="__COD161" localSheetId="4">#REF!</definedName>
    <definedName name="__COD161">#REF!</definedName>
    <definedName name="__COD166" localSheetId="4">#REF!</definedName>
    <definedName name="__COD166">#REF!</definedName>
    <definedName name="__COD168" localSheetId="4">#REF!</definedName>
    <definedName name="__COD168">#REF!</definedName>
    <definedName name="__COD169" localSheetId="4">#REF!</definedName>
    <definedName name="__COD169">#REF!</definedName>
    <definedName name="__COD17" localSheetId="4">#REF!</definedName>
    <definedName name="__COD17">#REF!</definedName>
    <definedName name="__COD170" localSheetId="4">#REF!</definedName>
    <definedName name="__COD170">#REF!</definedName>
    <definedName name="__COD171" localSheetId="4">#REF!</definedName>
    <definedName name="__COD171">#REF!</definedName>
    <definedName name="__COD172" localSheetId="4">#REF!</definedName>
    <definedName name="__COD172">#REF!</definedName>
    <definedName name="__COD173" localSheetId="4">#REF!</definedName>
    <definedName name="__COD173">#REF!</definedName>
    <definedName name="__COD174" localSheetId="4">#REF!</definedName>
    <definedName name="__COD174">#REF!</definedName>
    <definedName name="__COD175" localSheetId="4">#REF!</definedName>
    <definedName name="__COD175">#REF!</definedName>
    <definedName name="__COD177" localSheetId="4">#REF!</definedName>
    <definedName name="__COD177">#REF!</definedName>
    <definedName name="__COD178" localSheetId="4">#REF!</definedName>
    <definedName name="__COD178">#REF!</definedName>
    <definedName name="__COD179" localSheetId="4">#REF!</definedName>
    <definedName name="__COD179">#REF!</definedName>
    <definedName name="__COD180" localSheetId="4">#REF!</definedName>
    <definedName name="__COD180">#REF!</definedName>
    <definedName name="__COD184" localSheetId="4">#REF!</definedName>
    <definedName name="__COD184">#REF!</definedName>
    <definedName name="__COD189" localSheetId="4">#REF!</definedName>
    <definedName name="__COD189">#REF!</definedName>
    <definedName name="__COD191" localSheetId="4">#REF!</definedName>
    <definedName name="__COD191">#REF!</definedName>
    <definedName name="__COD192" localSheetId="4">#REF!</definedName>
    <definedName name="__COD192">#REF!</definedName>
    <definedName name="__COD195" localSheetId="4">#REF!</definedName>
    <definedName name="__COD195">#REF!</definedName>
    <definedName name="__COD198" localSheetId="4">#REF!</definedName>
    <definedName name="__COD198">#REF!</definedName>
    <definedName name="__COD199" localSheetId="4">#REF!</definedName>
    <definedName name="__COD199">#REF!</definedName>
    <definedName name="__COD200" localSheetId="4">#REF!</definedName>
    <definedName name="__COD200">#REF!</definedName>
    <definedName name="__COD21" localSheetId="4">#REF!</definedName>
    <definedName name="__COD21">#REF!</definedName>
    <definedName name="__COD23" localSheetId="4">#REF!</definedName>
    <definedName name="__COD23">#REF!</definedName>
    <definedName name="__COD24" localSheetId="4">#REF!</definedName>
    <definedName name="__COD24">#REF!</definedName>
    <definedName name="__COD28" localSheetId="4">#REF!</definedName>
    <definedName name="__COD28">#REF!</definedName>
    <definedName name="__COD29" localSheetId="4">#REF!</definedName>
    <definedName name="__COD29">#REF!</definedName>
    <definedName name="__COD32" localSheetId="4">#REF!</definedName>
    <definedName name="__COD32">#REF!</definedName>
    <definedName name="__COD35" localSheetId="4">#REF!</definedName>
    <definedName name="__COD35">#REF!</definedName>
    <definedName name="__COD36" localSheetId="4">#REF!</definedName>
    <definedName name="__COD36">#REF!</definedName>
    <definedName name="__COD37" localSheetId="4">#REF!</definedName>
    <definedName name="__COD37">#REF!</definedName>
    <definedName name="__COD41" localSheetId="4">#REF!</definedName>
    <definedName name="__COD41">#REF!</definedName>
    <definedName name="__COD42" localSheetId="4">#REF!</definedName>
    <definedName name="__COD42">#REF!</definedName>
    <definedName name="__COD43" localSheetId="4">#REF!</definedName>
    <definedName name="__COD43">#REF!</definedName>
    <definedName name="__COD44" localSheetId="4">#REF!</definedName>
    <definedName name="__COD44">#REF!</definedName>
    <definedName name="__COD46" localSheetId="4">#REF!</definedName>
    <definedName name="__COD46">#REF!</definedName>
    <definedName name="__COD47" localSheetId="4">#REF!</definedName>
    <definedName name="__COD47">#REF!</definedName>
    <definedName name="__COD49" localSheetId="4">#REF!</definedName>
    <definedName name="__COD49">#REF!</definedName>
    <definedName name="__COD50" localSheetId="4">#REF!</definedName>
    <definedName name="__COD50">#REF!</definedName>
    <definedName name="__COD55" localSheetId="4">#REF!</definedName>
    <definedName name="__COD55">#REF!</definedName>
    <definedName name="__COD60" localSheetId="4">#REF!</definedName>
    <definedName name="__COD60">#REF!</definedName>
    <definedName name="__COD62" localSheetId="4">#REF!</definedName>
    <definedName name="__COD62">#REF!</definedName>
    <definedName name="__COD65" localSheetId="4">#REF!</definedName>
    <definedName name="__COD65">#REF!</definedName>
    <definedName name="__COD66" localSheetId="4">#REF!</definedName>
    <definedName name="__COD66">#REF!</definedName>
    <definedName name="__COD68" localSheetId="4">#REF!</definedName>
    <definedName name="__COD68">#REF!</definedName>
    <definedName name="__COD8" localSheetId="4">#REF!</definedName>
    <definedName name="__COD8">#REF!</definedName>
    <definedName name="__COM010201">#REF!</definedName>
    <definedName name="__COM010202">#REF!</definedName>
    <definedName name="__COM010205">#REF!</definedName>
    <definedName name="__COM010206">#REF!</definedName>
    <definedName name="__COM010210">#REF!</definedName>
    <definedName name="__COM010301">#REF!</definedName>
    <definedName name="__COM010401">#REF!</definedName>
    <definedName name="__COM010402">#REF!</definedName>
    <definedName name="__COM010407">#REF!</definedName>
    <definedName name="__COM010413">#REF!</definedName>
    <definedName name="__COM010501">#REF!</definedName>
    <definedName name="__COM010503">#REF!</definedName>
    <definedName name="__COM010505">#REF!</definedName>
    <definedName name="__COM010509">#REF!</definedName>
    <definedName name="__COM010512">#REF!</definedName>
    <definedName name="__COM010518">#REF!</definedName>
    <definedName name="__COM010519">#REF!</definedName>
    <definedName name="__COM010521">#REF!</definedName>
    <definedName name="__COM010523">#REF!</definedName>
    <definedName name="__COM010532">#REF!</definedName>
    <definedName name="__COM010533">#REF!</definedName>
    <definedName name="__COM010536">#REF!</definedName>
    <definedName name="__COM010701">#REF!</definedName>
    <definedName name="__COM010703">#REF!</definedName>
    <definedName name="__COM010705">#REF!</definedName>
    <definedName name="__COM010708">#REF!</definedName>
    <definedName name="__COM010710">#REF!</definedName>
    <definedName name="__COM010712">#REF!</definedName>
    <definedName name="__COM010717">#REF!</definedName>
    <definedName name="__COM010718">#REF!</definedName>
    <definedName name="__COM020201">#REF!</definedName>
    <definedName name="__COM020205">#REF!</definedName>
    <definedName name="__COM020211">#REF!</definedName>
    <definedName name="__COM020217">#REF!</definedName>
    <definedName name="__COM030102">#REF!</definedName>
    <definedName name="__COM030201">#REF!</definedName>
    <definedName name="__COM030303">#REF!</definedName>
    <definedName name="__COM030317">#REF!</definedName>
    <definedName name="__COM040101">#REF!</definedName>
    <definedName name="__COM040202">#REF!</definedName>
    <definedName name="__COM050103">#REF!</definedName>
    <definedName name="__COM050207">#REF!</definedName>
    <definedName name="__COM060101">#REF!</definedName>
    <definedName name="__COM080101">#REF!</definedName>
    <definedName name="__COM080310">#REF!</definedName>
    <definedName name="__COM090101">#REF!</definedName>
    <definedName name="__COM100302">#REF!</definedName>
    <definedName name="__COM110101">#REF!</definedName>
    <definedName name="__COM110104">#REF!</definedName>
    <definedName name="__COM110107">#REF!</definedName>
    <definedName name="__COM120101">#REF!</definedName>
    <definedName name="__COM120105">#REF!</definedName>
    <definedName name="__COM120106">#REF!</definedName>
    <definedName name="__COM120107">#REF!</definedName>
    <definedName name="__COM120110">#REF!</definedName>
    <definedName name="__COM120150">#REF!</definedName>
    <definedName name="__COM130101">#REF!</definedName>
    <definedName name="__COM130103">#REF!</definedName>
    <definedName name="__COM130304">#REF!</definedName>
    <definedName name="__COM130401">#REF!</definedName>
    <definedName name="__COM140102">#REF!</definedName>
    <definedName name="__COM140109">#REF!</definedName>
    <definedName name="__COM140113">#REF!</definedName>
    <definedName name="__COM140122">#REF!</definedName>
    <definedName name="__COM140126">#REF!</definedName>
    <definedName name="__COM140129">#REF!</definedName>
    <definedName name="__COM140135">#REF!</definedName>
    <definedName name="__COM140143">#REF!</definedName>
    <definedName name="__COM140145">#REF!</definedName>
    <definedName name="__COM150130">#REF!</definedName>
    <definedName name="__COM170101">#REF!</definedName>
    <definedName name="__COM170102">#REF!</definedName>
    <definedName name="__COM170103">#REF!</definedName>
    <definedName name="__DAT11" localSheetId="4">#REF!</definedName>
    <definedName name="__DAT11">#REF!</definedName>
    <definedName name="__DAT12" localSheetId="4">#REF!</definedName>
    <definedName name="__DAT12">#REF!</definedName>
    <definedName name="__DAT13" localSheetId="4">#REF!</definedName>
    <definedName name="__DAT13">#REF!</definedName>
    <definedName name="__DAT15" localSheetId="4">#REF!</definedName>
    <definedName name="__DAT15">#REF!</definedName>
    <definedName name="__DAT16" localSheetId="4">#REF!</definedName>
    <definedName name="__DAT16">#REF!</definedName>
    <definedName name="__DAT3" localSheetId="4">#REF!</definedName>
    <definedName name="__DAT3">#REF!</definedName>
    <definedName name="__DAT4" localSheetId="4">#REF!</definedName>
    <definedName name="__DAT4">#REF!</definedName>
    <definedName name="__DAT5" localSheetId="4">#REF!</definedName>
    <definedName name="__DAT5">#REF!</definedName>
    <definedName name="__DAT6" localSheetId="4">#REF!</definedName>
    <definedName name="__DAT6">#REF!</definedName>
    <definedName name="__DAT7" localSheetId="4">#REF!</definedName>
    <definedName name="__DAT7">#REF!</definedName>
    <definedName name="__DAT8" localSheetId="4">#REF!</definedName>
    <definedName name="__DAT8">#REF!</definedName>
    <definedName name="__GLB2">#REF!</definedName>
    <definedName name="__i3">#REF!</definedName>
    <definedName name="__LUP1">#N/A</definedName>
    <definedName name="__LUP2">#N/A</definedName>
    <definedName name="__MAO010201">#REF!</definedName>
    <definedName name="__MAO010202">#REF!</definedName>
    <definedName name="__MAO010205">#REF!</definedName>
    <definedName name="__MAO010206">#REF!</definedName>
    <definedName name="__MAO010210">#REF!</definedName>
    <definedName name="__MAO010401">#REF!</definedName>
    <definedName name="__MAO010402">#REF!</definedName>
    <definedName name="__MAO010407">#REF!</definedName>
    <definedName name="__MAO010413">#REF!</definedName>
    <definedName name="__MAO010501">#REF!</definedName>
    <definedName name="__MAO010503">#REF!</definedName>
    <definedName name="__MAO010505">#REF!</definedName>
    <definedName name="__MAO010509">#REF!</definedName>
    <definedName name="__MAO010512">#REF!</definedName>
    <definedName name="__MAO010518">#REF!</definedName>
    <definedName name="__MAO010519">#REF!</definedName>
    <definedName name="__MAO010521">#REF!</definedName>
    <definedName name="__MAO010523">#REF!</definedName>
    <definedName name="__MAO010532">#REF!</definedName>
    <definedName name="__MAO010533">#REF!</definedName>
    <definedName name="__MAO010536">#REF!</definedName>
    <definedName name="__MAO010701">#REF!</definedName>
    <definedName name="__MAO010703">#REF!</definedName>
    <definedName name="__MAO010705">#REF!</definedName>
    <definedName name="__MAO010708">#REF!</definedName>
    <definedName name="__MAO010710">#REF!</definedName>
    <definedName name="__MAO010712">#REF!</definedName>
    <definedName name="__MAO010717">#REF!</definedName>
    <definedName name="__MAO020201">#REF!</definedName>
    <definedName name="__MAO020205">#REF!</definedName>
    <definedName name="__MAO020211">#REF!</definedName>
    <definedName name="__MAO020217">#REF!</definedName>
    <definedName name="__MAO030102">#REF!</definedName>
    <definedName name="__MAO030201">#REF!</definedName>
    <definedName name="__MAO030303">#REF!</definedName>
    <definedName name="__MAO030317">#REF!</definedName>
    <definedName name="__MAO040101">#REF!</definedName>
    <definedName name="__MAO040202">#REF!</definedName>
    <definedName name="__MAO050103">#REF!</definedName>
    <definedName name="__MAO050207">#REF!</definedName>
    <definedName name="__MAO060101">#REF!</definedName>
    <definedName name="__MAO080310">#REF!</definedName>
    <definedName name="__MAO090101">#REF!</definedName>
    <definedName name="__MAO110101">#REF!</definedName>
    <definedName name="__MAO110104">#REF!</definedName>
    <definedName name="__MAO110107">#REF!</definedName>
    <definedName name="__MAO120101">#REF!</definedName>
    <definedName name="__MAO120105">#REF!</definedName>
    <definedName name="__MAO120106">#REF!</definedName>
    <definedName name="__MAO120107">#REF!</definedName>
    <definedName name="__MAO120110">#REF!</definedName>
    <definedName name="__MAO120150">#REF!</definedName>
    <definedName name="__MAO130101">#REF!</definedName>
    <definedName name="__MAO130103">#REF!</definedName>
    <definedName name="__MAO130304">#REF!</definedName>
    <definedName name="__MAO130401">#REF!</definedName>
    <definedName name="__MAO140102">#REF!</definedName>
    <definedName name="__MAO140109">#REF!</definedName>
    <definedName name="__MAO140113">#REF!</definedName>
    <definedName name="__MAO140122">#REF!</definedName>
    <definedName name="__MAO140126">#REF!</definedName>
    <definedName name="__MAO140129">#REF!</definedName>
    <definedName name="__MAO140135">#REF!</definedName>
    <definedName name="__MAO140143">#REF!</definedName>
    <definedName name="__MAO140145">#REF!</definedName>
    <definedName name="__MAT010301">#REF!</definedName>
    <definedName name="__MAT010401">#REF!</definedName>
    <definedName name="__MAT010402">#REF!</definedName>
    <definedName name="__MAT010407">#REF!</definedName>
    <definedName name="__MAT010413">#REF!</definedName>
    <definedName name="__MAT010536">#REF!</definedName>
    <definedName name="__MAT010703">#REF!</definedName>
    <definedName name="__MAT010708">#REF!</definedName>
    <definedName name="__MAT010710">#REF!</definedName>
    <definedName name="__MAT010718">#REF!</definedName>
    <definedName name="__MAT020201">#REF!</definedName>
    <definedName name="__MAT020205">#REF!</definedName>
    <definedName name="__MAT020211">#REF!</definedName>
    <definedName name="__MAT030102">#REF!</definedName>
    <definedName name="__MAT030201">#REF!</definedName>
    <definedName name="__MAT030303">#REF!</definedName>
    <definedName name="__MAT030317">#REF!</definedName>
    <definedName name="__MAT040101">#REF!</definedName>
    <definedName name="__MAT040202">#REF!</definedName>
    <definedName name="__MAT050103">#REF!</definedName>
    <definedName name="__MAT050207">#REF!</definedName>
    <definedName name="__MAT060101">#REF!</definedName>
    <definedName name="__MAT080101">#REF!</definedName>
    <definedName name="__MAT080310">#REF!</definedName>
    <definedName name="__MAT090101">#REF!</definedName>
    <definedName name="__MAT100302">#REF!</definedName>
    <definedName name="__MAT110101">#REF!</definedName>
    <definedName name="__MAT110104">#REF!</definedName>
    <definedName name="__MAT110107">#REF!</definedName>
    <definedName name="__MAT120101">#REF!</definedName>
    <definedName name="__MAT120105">#REF!</definedName>
    <definedName name="__MAT120106">#REF!</definedName>
    <definedName name="__MAT120107">#REF!</definedName>
    <definedName name="__MAT120110">#REF!</definedName>
    <definedName name="__MAT120150">#REF!</definedName>
    <definedName name="__MAT130101">#REF!</definedName>
    <definedName name="__MAT130103">#REF!</definedName>
    <definedName name="__MAT130304">#REF!</definedName>
    <definedName name="__MAT130401">#REF!</definedName>
    <definedName name="__MAT140102">#REF!</definedName>
    <definedName name="__MAT140109">#REF!</definedName>
    <definedName name="__MAT140113">#REF!</definedName>
    <definedName name="__MAT140122">#REF!</definedName>
    <definedName name="__MAT140126">#REF!</definedName>
    <definedName name="__MAT140129">#REF!</definedName>
    <definedName name="__MAT140135">#REF!</definedName>
    <definedName name="__MAT140143">#REF!</definedName>
    <definedName name="__MAT140145">#REF!</definedName>
    <definedName name="__MAT150130">#REF!</definedName>
    <definedName name="__MAT170101">#REF!</definedName>
    <definedName name="__MAT170102">#REF!</definedName>
    <definedName name="__MAT170103">#REF!</definedName>
    <definedName name="__PAG1" localSheetId="4">#REF!</definedName>
    <definedName name="__PAG1">#REF!</definedName>
    <definedName name="__PAG10" localSheetId="4">#REF!</definedName>
    <definedName name="__PAG10">#REF!</definedName>
    <definedName name="__PAG11" localSheetId="4">#REF!</definedName>
    <definedName name="__PAG11">#REF!</definedName>
    <definedName name="__PAG12" localSheetId="4">#REF!</definedName>
    <definedName name="__PAG12">#REF!</definedName>
    <definedName name="__PAG13" localSheetId="4">#REF!</definedName>
    <definedName name="__PAG13">#REF!</definedName>
    <definedName name="__PAG14" localSheetId="4">#REF!</definedName>
    <definedName name="__PAG14">#REF!</definedName>
    <definedName name="__PAG15" localSheetId="4">#REF!</definedName>
    <definedName name="__PAG15">#REF!</definedName>
    <definedName name="__PAG2" localSheetId="4">#REF!</definedName>
    <definedName name="__PAG2">#REF!</definedName>
    <definedName name="__PAG3" localSheetId="4">#REF!</definedName>
    <definedName name="__PAG3">#REF!</definedName>
    <definedName name="__PAG4" localSheetId="4">#REF!</definedName>
    <definedName name="__PAG4">#REF!</definedName>
    <definedName name="__PAG5" localSheetId="4">#REF!</definedName>
    <definedName name="__PAG5">#REF!</definedName>
    <definedName name="__PAG6" localSheetId="4">#REF!</definedName>
    <definedName name="__PAG6">#REF!</definedName>
    <definedName name="__PAG7" localSheetId="4">#REF!</definedName>
    <definedName name="__PAG7">#REF!</definedName>
    <definedName name="__PAG8" localSheetId="4">#REF!</definedName>
    <definedName name="__PAG8">#REF!</definedName>
    <definedName name="__PAG9" localSheetId="4">#REF!</definedName>
    <definedName name="__PAG9">#REF!</definedName>
    <definedName name="__pl056" localSheetId="4">#REF!</definedName>
    <definedName name="__pl056">#REF!</definedName>
    <definedName name="__PPU1" localSheetId="4" hidden="1">{#N/A,#N/A,FALSE,"Cronograma";#N/A,#N/A,FALSE,"Cronogr. 2"}</definedName>
    <definedName name="__PPU1" hidden="1">{#N/A,#N/A,FALSE,"Cronograma";#N/A,#N/A,FALSE,"Cronogr. 2"}</definedName>
    <definedName name="__ppu2" localSheetId="4" hidden="1">{#N/A,#N/A,FALSE,"Cronograma";#N/A,#N/A,FALSE,"Cronogr. 2"}</definedName>
    <definedName name="__ppu2" hidden="1">{#N/A,#N/A,FALSE,"Cronograma";#N/A,#N/A,FALSE,"Cronogr. 2"}</definedName>
    <definedName name="__PRE010201">#REF!</definedName>
    <definedName name="__PRE010202">#REF!</definedName>
    <definedName name="__PRE010205">#REF!</definedName>
    <definedName name="__PRE010206">#REF!</definedName>
    <definedName name="__PRE010210">#REF!</definedName>
    <definedName name="__PRE010301">#REF!</definedName>
    <definedName name="__PRE010401">#REF!</definedName>
    <definedName name="__PRE010402">#REF!</definedName>
    <definedName name="__PRE010407">#REF!</definedName>
    <definedName name="__PRE010413">#REF!</definedName>
    <definedName name="__PRE010501">#REF!</definedName>
    <definedName name="__PRE010503">#REF!</definedName>
    <definedName name="__PRE010505">#REF!</definedName>
    <definedName name="__PRE010509">#REF!</definedName>
    <definedName name="__PRE010512">#REF!</definedName>
    <definedName name="__PRE010518">#REF!</definedName>
    <definedName name="__PRE010519">#REF!</definedName>
    <definedName name="__PRE010521">#REF!</definedName>
    <definedName name="__PRE010523">#REF!</definedName>
    <definedName name="__PRE010532">#REF!</definedName>
    <definedName name="__PRE010533">#REF!</definedName>
    <definedName name="__PRE010536">#REF!</definedName>
    <definedName name="__PRE010701">#REF!</definedName>
    <definedName name="__PRE010703">#REF!</definedName>
    <definedName name="__PRE010705">#REF!</definedName>
    <definedName name="__PRE010708">#REF!</definedName>
    <definedName name="__PRE010710">#REF!</definedName>
    <definedName name="__PRE010712">#REF!</definedName>
    <definedName name="__PRE010717">#REF!</definedName>
    <definedName name="__PRE010718">#REF!</definedName>
    <definedName name="__PRE020201">#REF!</definedName>
    <definedName name="__PRE020205">#REF!</definedName>
    <definedName name="__PRE020211">#REF!</definedName>
    <definedName name="__PRE020217">#REF!</definedName>
    <definedName name="__PRE030102">#REF!</definedName>
    <definedName name="__PRE030201">#REF!</definedName>
    <definedName name="__PRE030303">#REF!</definedName>
    <definedName name="__PRE030317">#REF!</definedName>
    <definedName name="__PRE040101">#REF!</definedName>
    <definedName name="__PRE040202">#REF!</definedName>
    <definedName name="__PRE050103">#REF!</definedName>
    <definedName name="__PRE050207">#REF!</definedName>
    <definedName name="__PRE060101">#REF!</definedName>
    <definedName name="__PRE080101">#REF!</definedName>
    <definedName name="__PRE080310">#REF!</definedName>
    <definedName name="__PRE090101">#REF!</definedName>
    <definedName name="__PRE100302">#REF!</definedName>
    <definedName name="__PRE110101">#REF!</definedName>
    <definedName name="__PRE110104">#REF!</definedName>
    <definedName name="__PRE110107">#REF!</definedName>
    <definedName name="__PRE120101">#REF!</definedName>
    <definedName name="__PRE120105">#REF!</definedName>
    <definedName name="__PRE120106">#REF!</definedName>
    <definedName name="__PRE120107">#REF!</definedName>
    <definedName name="__PRE120110">#REF!</definedName>
    <definedName name="__PRE120150">#REF!</definedName>
    <definedName name="__PRE130101">#REF!</definedName>
    <definedName name="__PRE130103">#REF!</definedName>
    <definedName name="__PRE130304">#REF!</definedName>
    <definedName name="__PRE130401">#REF!</definedName>
    <definedName name="__PRE140102">#REF!</definedName>
    <definedName name="__PRE140109">#REF!</definedName>
    <definedName name="__PRE140113">#REF!</definedName>
    <definedName name="__PRE140122">#REF!</definedName>
    <definedName name="__PRE140126">#REF!</definedName>
    <definedName name="__PRE140129">#REF!</definedName>
    <definedName name="__PRE140135">#REF!</definedName>
    <definedName name="__PRE140143">#REF!</definedName>
    <definedName name="__PRE140145">#REF!</definedName>
    <definedName name="__PRE150130">#REF!</definedName>
    <definedName name="__PRE170101">#REF!</definedName>
    <definedName name="__PRE170102">#REF!</definedName>
    <definedName name="__PRE170103">#REF!</definedName>
    <definedName name="__QUA010201">#REF!</definedName>
    <definedName name="__QUA010202">#REF!</definedName>
    <definedName name="__QUA010205">#REF!</definedName>
    <definedName name="__QUA010206">#REF!</definedName>
    <definedName name="__QUA010210">#REF!</definedName>
    <definedName name="__QUA010301">#REF!</definedName>
    <definedName name="__QUA010401">#REF!</definedName>
    <definedName name="__QUA010402">#REF!</definedName>
    <definedName name="__QUA010407">#REF!</definedName>
    <definedName name="__QUA010413">#REF!</definedName>
    <definedName name="__QUA010501">#REF!</definedName>
    <definedName name="__QUA010503">#REF!</definedName>
    <definedName name="__QUA010505">#REF!</definedName>
    <definedName name="__QUA010509">#REF!</definedName>
    <definedName name="__QUA010512">#REF!</definedName>
    <definedName name="__QUA010518">#REF!</definedName>
    <definedName name="__QUA010519">#REF!</definedName>
    <definedName name="__QUA010521">#REF!</definedName>
    <definedName name="__QUA010523">#REF!</definedName>
    <definedName name="__QUA010532">#REF!</definedName>
    <definedName name="__QUA010533">#REF!</definedName>
    <definedName name="__QUA010536">#REF!</definedName>
    <definedName name="__QUA010701">#REF!</definedName>
    <definedName name="__QUA010703">#REF!</definedName>
    <definedName name="__QUA010705">#REF!</definedName>
    <definedName name="__QUA010708">#REF!</definedName>
    <definedName name="__QUA010710">#REF!</definedName>
    <definedName name="__QUA010712">#REF!</definedName>
    <definedName name="__QUA010717">#REF!</definedName>
    <definedName name="__QUA010718">#REF!</definedName>
    <definedName name="__QUA020201">#REF!</definedName>
    <definedName name="__QUA020205">#REF!</definedName>
    <definedName name="__QUA020211">#REF!</definedName>
    <definedName name="__QUA020217">#REF!</definedName>
    <definedName name="__QUA030102">#REF!</definedName>
    <definedName name="__QUA030201">#REF!</definedName>
    <definedName name="__QUA030303">#REF!</definedName>
    <definedName name="__QUA030317">#REF!</definedName>
    <definedName name="__QUA040101">#REF!</definedName>
    <definedName name="__QUA040202">#REF!</definedName>
    <definedName name="__QUA050103">#REF!</definedName>
    <definedName name="__QUA050207">#REF!</definedName>
    <definedName name="__QUA060101">#REF!</definedName>
    <definedName name="__QUA080101">#REF!</definedName>
    <definedName name="__QUA080310">#REF!</definedName>
    <definedName name="__QUA090101">#REF!</definedName>
    <definedName name="__QUA100302">#REF!</definedName>
    <definedName name="__QUA110101">#REF!</definedName>
    <definedName name="__QUA110104">#REF!</definedName>
    <definedName name="__QUA110107">#REF!</definedName>
    <definedName name="__QUA120101">#REF!</definedName>
    <definedName name="__QUA120105">#REF!</definedName>
    <definedName name="__QUA120106">#REF!</definedName>
    <definedName name="__QUA120107">#REF!</definedName>
    <definedName name="__QUA120110">#REF!</definedName>
    <definedName name="__QUA120150">#REF!</definedName>
    <definedName name="__QUA130101">#REF!</definedName>
    <definedName name="__QUA130103">#REF!</definedName>
    <definedName name="__QUA130304">#REF!</definedName>
    <definedName name="__QUA130401">#REF!</definedName>
    <definedName name="__QUA140102">#REF!</definedName>
    <definedName name="__QUA140109">#REF!</definedName>
    <definedName name="__QUA140113">#REF!</definedName>
    <definedName name="__QUA140122">#REF!</definedName>
    <definedName name="__QUA140126">#REF!</definedName>
    <definedName name="__QUA140129">#REF!</definedName>
    <definedName name="__QUA140135">#REF!</definedName>
    <definedName name="__QUA140143">#REF!</definedName>
    <definedName name="__QUA140145">#REF!</definedName>
    <definedName name="__QUA150130">#REF!</definedName>
    <definedName name="__QUA170101">#REF!</definedName>
    <definedName name="__QUA170102">#REF!</definedName>
    <definedName name="__QUA170103">#REF!</definedName>
    <definedName name="__R" localSheetId="2">#REF!</definedName>
    <definedName name="__R" localSheetId="3">#REF!</definedName>
    <definedName name="__R" localSheetId="0">#REF!</definedName>
    <definedName name="__R" localSheetId="4">"$#REF!.$E$13"</definedName>
    <definedName name="__R">#REF!</definedName>
    <definedName name="__REC11100">#REF!</definedName>
    <definedName name="__REC11110">#REF!</definedName>
    <definedName name="__REC11115">#REF!</definedName>
    <definedName name="__REC11125">#REF!</definedName>
    <definedName name="__REC11130">#REF!</definedName>
    <definedName name="__REC11135">#REF!</definedName>
    <definedName name="__REC11145">#REF!</definedName>
    <definedName name="__REC11150">#REF!</definedName>
    <definedName name="__REC11165">#REF!</definedName>
    <definedName name="__REC11170">#REF!</definedName>
    <definedName name="__REC11180">#REF!</definedName>
    <definedName name="__REC11185">#REF!</definedName>
    <definedName name="__REC11220">#REF!</definedName>
    <definedName name="__REC12105">#REF!</definedName>
    <definedName name="__REC12555">#REF!</definedName>
    <definedName name="__REC12570">#REF!</definedName>
    <definedName name="__REC12575">#REF!</definedName>
    <definedName name="__REC12580">#REF!</definedName>
    <definedName name="__REC12600">#REF!</definedName>
    <definedName name="__REC12610">#REF!</definedName>
    <definedName name="__REC12630">#REF!</definedName>
    <definedName name="__REC12631">#REF!</definedName>
    <definedName name="__REC12640">#REF!</definedName>
    <definedName name="__REC12645">#REF!</definedName>
    <definedName name="__REC12665">#REF!</definedName>
    <definedName name="__REC12690">#REF!</definedName>
    <definedName name="__REC12700">#REF!</definedName>
    <definedName name="__REC12710">#REF!</definedName>
    <definedName name="__REC13111">#REF!</definedName>
    <definedName name="__REC13112">#REF!</definedName>
    <definedName name="__REC13121">#REF!</definedName>
    <definedName name="__REC13720">#REF!</definedName>
    <definedName name="__REC14100">#REF!</definedName>
    <definedName name="__REC14161">#REF!</definedName>
    <definedName name="__REC14195">#REF!</definedName>
    <definedName name="__REC14205">#REF!</definedName>
    <definedName name="__REC14260">#REF!</definedName>
    <definedName name="__REC14500">#REF!</definedName>
    <definedName name="__REC14515">#REF!</definedName>
    <definedName name="__REC14555">#REF!</definedName>
    <definedName name="__REC14565">#REF!</definedName>
    <definedName name="__REC15135">#REF!</definedName>
    <definedName name="__REC15140">#REF!</definedName>
    <definedName name="__REC15195">#REF!</definedName>
    <definedName name="__REC15225">#REF!</definedName>
    <definedName name="__REC15230">#REF!</definedName>
    <definedName name="__REC15515">#REF!</definedName>
    <definedName name="__REC15560">#REF!</definedName>
    <definedName name="__REC15565">#REF!</definedName>
    <definedName name="__REC15570">#REF!</definedName>
    <definedName name="__REC15575">#REF!</definedName>
    <definedName name="__REC15583">#REF!</definedName>
    <definedName name="__REC15590">#REF!</definedName>
    <definedName name="__REC15591">#REF!</definedName>
    <definedName name="__REC15610">#REF!</definedName>
    <definedName name="__REC15625">#REF!</definedName>
    <definedName name="__REC15635">#REF!</definedName>
    <definedName name="__REC15655">#REF!</definedName>
    <definedName name="__REC15665">#REF!</definedName>
    <definedName name="__REC16515">#REF!</definedName>
    <definedName name="__REC16535">#REF!</definedName>
    <definedName name="__REC17140">#REF!</definedName>
    <definedName name="__REC19500">#REF!</definedName>
    <definedName name="__REC19501">#REF!</definedName>
    <definedName name="__REC19502">#REF!</definedName>
    <definedName name="__REC19503">#REF!</definedName>
    <definedName name="__REC19504">#REF!</definedName>
    <definedName name="__REC19505">#REF!</definedName>
    <definedName name="__REC20100">#REF!</definedName>
    <definedName name="__REC20105">#REF!</definedName>
    <definedName name="__REC20110">#REF!</definedName>
    <definedName name="__REC20115">#REF!</definedName>
    <definedName name="__REC20130">#REF!</definedName>
    <definedName name="__REC20135">#REF!</definedName>
    <definedName name="__REC20140">#REF!</definedName>
    <definedName name="__REC20145">#REF!</definedName>
    <definedName name="__REC20150">#REF!</definedName>
    <definedName name="__REC20155">#REF!</definedName>
    <definedName name="__REC20175">#REF!</definedName>
    <definedName name="__REC20185">#REF!</definedName>
    <definedName name="__REC20190">#REF!</definedName>
    <definedName name="__REC20195">#REF!</definedName>
    <definedName name="__REC20210">#REF!</definedName>
    <definedName name="__RET1" localSheetId="3">#REF!</definedName>
    <definedName name="__RET1">[1]Regula!$J$36</definedName>
    <definedName name="__svi2">#REF!</definedName>
    <definedName name="__TT102" localSheetId="3">#REF!</definedName>
    <definedName name="__TT102">'[2]Relatório-1ª med.'!#REF!</definedName>
    <definedName name="__TT107" localSheetId="3">#REF!</definedName>
    <definedName name="__TT107">'[2]Relatório-1ª med.'!#REF!</definedName>
    <definedName name="__TT121" localSheetId="3">#REF!</definedName>
    <definedName name="__TT121">'[2]Relatório-1ª med.'!#REF!</definedName>
    <definedName name="__TT123" localSheetId="3">#REF!</definedName>
    <definedName name="__TT123">'[2]Relatório-1ª med.'!#REF!</definedName>
    <definedName name="__TT19" localSheetId="3">#REF!</definedName>
    <definedName name="__TT19">'[2]Relatório-1ª med.'!#REF!</definedName>
    <definedName name="__TT20" localSheetId="3">#REF!</definedName>
    <definedName name="__TT20">'[2]Relatório-1ª med.'!#REF!</definedName>
    <definedName name="__TT21" localSheetId="3">#REF!</definedName>
    <definedName name="__TT21">'[2]Relatório-1ª med.'!#REF!</definedName>
    <definedName name="__TT22" localSheetId="3">#REF!</definedName>
    <definedName name="__TT22">'[2]Relatório-1ª med.'!#REF!</definedName>
    <definedName name="__TT26" localSheetId="3">#REF!</definedName>
    <definedName name="__TT26">'[2]Relatório-1ª med.'!#REF!</definedName>
    <definedName name="__TT27" localSheetId="3">#REF!</definedName>
    <definedName name="__TT27">'[2]Relatório-1ª med.'!#REF!</definedName>
    <definedName name="__TT28" localSheetId="3">#REF!</definedName>
    <definedName name="__TT28">'[2]Relatório-1ª med.'!#REF!</definedName>
    <definedName name="__TT30" localSheetId="3">#REF!</definedName>
    <definedName name="__TT30">'[2]Relatório-1ª med.'!#REF!</definedName>
    <definedName name="__TT31" localSheetId="3">#REF!</definedName>
    <definedName name="__TT31">'[2]Relatório-1ª med.'!#REF!</definedName>
    <definedName name="__TT32" localSheetId="3">#REF!</definedName>
    <definedName name="__TT32">'[2]Relatório-1ª med.'!#REF!</definedName>
    <definedName name="__TT33" localSheetId="3">#REF!</definedName>
    <definedName name="__TT33">'[2]Relatório-1ª med.'!#REF!</definedName>
    <definedName name="__TT34" localSheetId="3">#REF!</definedName>
    <definedName name="__TT34">'[2]Relatório-1ª med.'!#REF!</definedName>
    <definedName name="__TT36" localSheetId="3">#REF!</definedName>
    <definedName name="__TT36">'[2]Relatório-1ª med.'!#REF!</definedName>
    <definedName name="__TT37" localSheetId="3">#REF!</definedName>
    <definedName name="__TT37">'[2]Relatório-1ª med.'!#REF!</definedName>
    <definedName name="__TT38" localSheetId="3">#REF!</definedName>
    <definedName name="__TT38">'[2]Relatório-1ª med.'!#REF!</definedName>
    <definedName name="__TT39" localSheetId="3">#REF!</definedName>
    <definedName name="__TT39">'[2]Relatório-1ª med.'!#REF!</definedName>
    <definedName name="__TT40" localSheetId="3">#REF!</definedName>
    <definedName name="__TT40">'[2]Relatório-1ª med.'!#REF!</definedName>
    <definedName name="__TT5" localSheetId="3">#REF!</definedName>
    <definedName name="__TT5">'[2]Relatório-1ª med.'!#REF!</definedName>
    <definedName name="__TT52" localSheetId="3">#REF!</definedName>
    <definedName name="__TT52">'[2]Relatório-1ª med.'!#REF!</definedName>
    <definedName name="__TT53" localSheetId="3">#REF!</definedName>
    <definedName name="__TT53">'[2]Relatório-1ª med.'!#REF!</definedName>
    <definedName name="__TT54" localSheetId="3">#REF!</definedName>
    <definedName name="__TT54">'[2]Relatório-1ª med.'!#REF!</definedName>
    <definedName name="__TT55" localSheetId="3">#REF!</definedName>
    <definedName name="__TT55">'[2]Relatório-1ª med.'!#REF!</definedName>
    <definedName name="__TT6" localSheetId="3">#REF!</definedName>
    <definedName name="__TT6">'[2]Relatório-1ª med.'!#REF!</definedName>
    <definedName name="__TT60" localSheetId="3">#REF!</definedName>
    <definedName name="__TT60">'[2]Relatório-1ª med.'!#REF!</definedName>
    <definedName name="__TT61" localSheetId="3">#REF!</definedName>
    <definedName name="__TT61">'[2]Relatório-1ª med.'!#REF!</definedName>
    <definedName name="__TT69" localSheetId="3">#REF!</definedName>
    <definedName name="__TT69">'[2]Relatório-1ª med.'!#REF!</definedName>
    <definedName name="__TT7" localSheetId="3">#REF!</definedName>
    <definedName name="__TT7">'[2]Relatório-1ª med.'!#REF!</definedName>
    <definedName name="__TT70" localSheetId="3">#REF!</definedName>
    <definedName name="__TT70">'[2]Relatório-1ª med.'!#REF!</definedName>
    <definedName name="__TT71" localSheetId="3">#REF!</definedName>
    <definedName name="__TT71">'[2]Relatório-1ª med.'!#REF!</definedName>
    <definedName name="__TT74" localSheetId="3">#REF!</definedName>
    <definedName name="__TT74">'[2]Relatório-1ª med.'!#REF!</definedName>
    <definedName name="__TT75" localSheetId="3">#REF!</definedName>
    <definedName name="__TT75">'[2]Relatório-1ª med.'!#REF!</definedName>
    <definedName name="__TT76" localSheetId="3">#REF!</definedName>
    <definedName name="__TT76">'[2]Relatório-1ª med.'!#REF!</definedName>
    <definedName name="__TT77" localSheetId="3">#REF!</definedName>
    <definedName name="__TT77">'[2]Relatório-1ª med.'!#REF!</definedName>
    <definedName name="__TT78" localSheetId="3">#REF!</definedName>
    <definedName name="__TT78">'[2]Relatório-1ª med.'!#REF!</definedName>
    <definedName name="__TT79" localSheetId="3">#REF!</definedName>
    <definedName name="__TT79">'[2]Relatório-1ª med.'!#REF!</definedName>
    <definedName name="__TT94" localSheetId="3">#REF!</definedName>
    <definedName name="__TT94">'[2]Relatório-1ª med.'!#REF!</definedName>
    <definedName name="__TT95" localSheetId="3">#REF!</definedName>
    <definedName name="__TT95">'[2]Relatório-1ª med.'!#REF!</definedName>
    <definedName name="__TT97" localSheetId="3">#REF!</definedName>
    <definedName name="__TT97">'[2]Relatório-1ª med.'!#REF!</definedName>
    <definedName name="__tub12">#N/A</definedName>
    <definedName name="__UNI11100">#REF!</definedName>
    <definedName name="__UNI11110">#REF!</definedName>
    <definedName name="__UNI11115">#REF!</definedName>
    <definedName name="__UNI11125">#REF!</definedName>
    <definedName name="__UNI11130">#REF!</definedName>
    <definedName name="__UNI11135">#REF!</definedName>
    <definedName name="__UNI11145">#REF!</definedName>
    <definedName name="__UNI11150">#REF!</definedName>
    <definedName name="__UNI11165">#REF!</definedName>
    <definedName name="__UNI11170">#REF!</definedName>
    <definedName name="__UNI11180">#REF!</definedName>
    <definedName name="__UNI11185">#REF!</definedName>
    <definedName name="__UNI11220">#REF!</definedName>
    <definedName name="__UNI12105">#REF!</definedName>
    <definedName name="__UNI12555">#REF!</definedName>
    <definedName name="__UNI12570">#REF!</definedName>
    <definedName name="__UNI12575">#REF!</definedName>
    <definedName name="__UNI12580">#REF!</definedName>
    <definedName name="__UNI12600">#REF!</definedName>
    <definedName name="__UNI12610">#REF!</definedName>
    <definedName name="__UNI12630">#REF!</definedName>
    <definedName name="__UNI12631">#REF!</definedName>
    <definedName name="__UNI12640">#REF!</definedName>
    <definedName name="__UNI12645">#REF!</definedName>
    <definedName name="__UNI12665">#REF!</definedName>
    <definedName name="__UNI12690">#REF!</definedName>
    <definedName name="__UNI12700">#REF!</definedName>
    <definedName name="__UNI12710">#REF!</definedName>
    <definedName name="__UNI13111">#REF!</definedName>
    <definedName name="__UNI13112">#REF!</definedName>
    <definedName name="__UNI13121">#REF!</definedName>
    <definedName name="__UNI13720">#REF!</definedName>
    <definedName name="__UNI14100">#REF!</definedName>
    <definedName name="__UNI14161">#REF!</definedName>
    <definedName name="__UNI14195">#REF!</definedName>
    <definedName name="__UNI14205">#REF!</definedName>
    <definedName name="__UNI14260">#REF!</definedName>
    <definedName name="__UNI14500">#REF!</definedName>
    <definedName name="__UNI14515">#REF!</definedName>
    <definedName name="__UNI14555">#REF!</definedName>
    <definedName name="__UNI14565">#REF!</definedName>
    <definedName name="__UNI15135">#REF!</definedName>
    <definedName name="__UNI15140">#REF!</definedName>
    <definedName name="__UNI15195">#REF!</definedName>
    <definedName name="__UNI15225">#REF!</definedName>
    <definedName name="__UNI15230">#REF!</definedName>
    <definedName name="__UNI15515">#REF!</definedName>
    <definedName name="__UNI15560">#REF!</definedName>
    <definedName name="__UNI15565">#REF!</definedName>
    <definedName name="__UNI15570">#REF!</definedName>
    <definedName name="__UNI15575">#REF!</definedName>
    <definedName name="__UNI15583">#REF!</definedName>
    <definedName name="__UNI15590">#REF!</definedName>
    <definedName name="__UNI15591">#REF!</definedName>
    <definedName name="__UNI15610">#REF!</definedName>
    <definedName name="__UNI15625">#REF!</definedName>
    <definedName name="__UNI15635">#REF!</definedName>
    <definedName name="__UNI15655">#REF!</definedName>
    <definedName name="__UNI15665">#REF!</definedName>
    <definedName name="__UNI16515">#REF!</definedName>
    <definedName name="__UNI16535">#REF!</definedName>
    <definedName name="__UNI17140">#REF!</definedName>
    <definedName name="__UNI19500">#REF!</definedName>
    <definedName name="__UNI19501">#REF!</definedName>
    <definedName name="__UNI19502">#REF!</definedName>
    <definedName name="__UNI19503">#REF!</definedName>
    <definedName name="__UNI19504">#REF!</definedName>
    <definedName name="__UNI19505">#REF!</definedName>
    <definedName name="__UNI20100">#REF!</definedName>
    <definedName name="__UNI20105">#REF!</definedName>
    <definedName name="__UNI20110">#REF!</definedName>
    <definedName name="__UNI20115">#REF!</definedName>
    <definedName name="__UNI20130">#REF!</definedName>
    <definedName name="__UNI20135">#REF!</definedName>
    <definedName name="__UNI20140">#REF!</definedName>
    <definedName name="__UNI20145">#REF!</definedName>
    <definedName name="__UNI20150">#REF!</definedName>
    <definedName name="__UNI20155">#REF!</definedName>
    <definedName name="__UNI20175">#REF!</definedName>
    <definedName name="__UNI20185">#REF!</definedName>
    <definedName name="__UNI20190">#REF!</definedName>
    <definedName name="__UNI20195">#REF!</definedName>
    <definedName name="__UNI20210">#REF!</definedName>
    <definedName name="__VAL11100">#REF!</definedName>
    <definedName name="__VAL11110">#REF!</definedName>
    <definedName name="__VAL11115">#REF!</definedName>
    <definedName name="__VAL11125">#REF!</definedName>
    <definedName name="__VAL11130">#REF!</definedName>
    <definedName name="__VAL11135">#REF!</definedName>
    <definedName name="__VAL11145">#REF!</definedName>
    <definedName name="__VAL11150">#REF!</definedName>
    <definedName name="__VAL11165">#REF!</definedName>
    <definedName name="__VAL11170">#REF!</definedName>
    <definedName name="__VAL11180">#REF!</definedName>
    <definedName name="__VAL11185">#REF!</definedName>
    <definedName name="__VAL11220">#REF!</definedName>
    <definedName name="__VAL12105">#REF!</definedName>
    <definedName name="__VAL12555">#REF!</definedName>
    <definedName name="__VAL12570">#REF!</definedName>
    <definedName name="__VAL12575">#REF!</definedName>
    <definedName name="__VAL12580">#REF!</definedName>
    <definedName name="__VAL12600">#REF!</definedName>
    <definedName name="__VAL12610">#REF!</definedName>
    <definedName name="__VAL12630">#REF!</definedName>
    <definedName name="__VAL12631">#REF!</definedName>
    <definedName name="__VAL12640">#REF!</definedName>
    <definedName name="__VAL12645">#REF!</definedName>
    <definedName name="__VAL12665">#REF!</definedName>
    <definedName name="__VAL12690">#REF!</definedName>
    <definedName name="__VAL12700">#REF!</definedName>
    <definedName name="__VAL12710">#REF!</definedName>
    <definedName name="__VAL13111">#REF!</definedName>
    <definedName name="__VAL13112">#REF!</definedName>
    <definedName name="__VAL13121">#REF!</definedName>
    <definedName name="__VAL13720">#REF!</definedName>
    <definedName name="__VAL14100">#REF!</definedName>
    <definedName name="__VAL14161">#REF!</definedName>
    <definedName name="__VAL14195">#REF!</definedName>
    <definedName name="__VAL14205">#REF!</definedName>
    <definedName name="__VAL14260">#REF!</definedName>
    <definedName name="__VAL14500">#REF!</definedName>
    <definedName name="__VAL14515">#REF!</definedName>
    <definedName name="__VAL14555">#REF!</definedName>
    <definedName name="__VAL14565">#REF!</definedName>
    <definedName name="__VAL15135">#REF!</definedName>
    <definedName name="__VAL15140">#REF!</definedName>
    <definedName name="__VAL15195">#REF!</definedName>
    <definedName name="__VAL15225">#REF!</definedName>
    <definedName name="__VAL15230">#REF!</definedName>
    <definedName name="__VAL15515">#REF!</definedName>
    <definedName name="__VAL15560">#REF!</definedName>
    <definedName name="__VAL15565">#REF!</definedName>
    <definedName name="__VAL15570">#REF!</definedName>
    <definedName name="__VAL15575">#REF!</definedName>
    <definedName name="__VAL15583">#REF!</definedName>
    <definedName name="__VAL15590">#REF!</definedName>
    <definedName name="__VAL15591">#REF!</definedName>
    <definedName name="__VAL15610">#REF!</definedName>
    <definedName name="__VAL15625">#REF!</definedName>
    <definedName name="__VAL15635">#REF!</definedName>
    <definedName name="__VAL15655">#REF!</definedName>
    <definedName name="__VAL15665">#REF!</definedName>
    <definedName name="__VAL16515">#REF!</definedName>
    <definedName name="__VAL16535">#REF!</definedName>
    <definedName name="__VAL17140">#REF!</definedName>
    <definedName name="__VAL19500">#REF!</definedName>
    <definedName name="__VAL19501">#REF!</definedName>
    <definedName name="__VAL19502">#REF!</definedName>
    <definedName name="__VAL19503">#REF!</definedName>
    <definedName name="__VAL19504">#REF!</definedName>
    <definedName name="__VAL19505">#REF!</definedName>
    <definedName name="__VAL20100">#REF!</definedName>
    <definedName name="__VAL20105">#REF!</definedName>
    <definedName name="__VAL20110">#REF!</definedName>
    <definedName name="__VAL20115">#REF!</definedName>
    <definedName name="__VAL20130">#REF!</definedName>
    <definedName name="__VAL20135">#REF!</definedName>
    <definedName name="__VAL20140">#REF!</definedName>
    <definedName name="__VAL20145">#REF!</definedName>
    <definedName name="__VAL20150">#REF!</definedName>
    <definedName name="__VAL20155">#REF!</definedName>
    <definedName name="__VAL20175">#REF!</definedName>
    <definedName name="__VAL20185">#REF!</definedName>
    <definedName name="__VAL20190">#REF!</definedName>
    <definedName name="__VAL20195">#REF!</definedName>
    <definedName name="__VAL20210">#REF!</definedName>
    <definedName name="__xlnm.Print_Area_1" localSheetId="4">#REF!</definedName>
    <definedName name="__xlnm.Print_Area_1">#REF!</definedName>
    <definedName name="__xlnm.Print_Area_2" localSheetId="4">#REF!</definedName>
    <definedName name="__xlnm.Print_Area_2">#REF!</definedName>
    <definedName name="__xlnm.Print_Area_3" localSheetId="4">#REF!</definedName>
    <definedName name="__xlnm.Print_Area_3">#REF!</definedName>
    <definedName name="__xlnm.Print_Titles_1" localSheetId="4">#REF!</definedName>
    <definedName name="__xlnm.Print_Titles_1">#REF!</definedName>
    <definedName name="__xlnm.Print_Titles_18" localSheetId="4">#REF!</definedName>
    <definedName name="__xlnm.Print_Titles_18">#REF!</definedName>
    <definedName name="__xlnm.Print_Titles_2" localSheetId="4">#REF!</definedName>
    <definedName name="__xlnm.Print_Titles_2">#REF!</definedName>
    <definedName name="__xlnm.Print_Titles_3" localSheetId="4">#REF!</definedName>
    <definedName name="__xlnm.Print_Titles_3">#REF!</definedName>
    <definedName name="_01">#REF!</definedName>
    <definedName name="_02">#REF!</definedName>
    <definedName name="_03">#REF!</definedName>
    <definedName name="_04">#REF!</definedName>
    <definedName name="_05">#REF!</definedName>
    <definedName name="_06">#REF!</definedName>
    <definedName name="_07">#REF!</definedName>
    <definedName name="_08">#REF!</definedName>
    <definedName name="_09">#REF!</definedName>
    <definedName name="_1__123Graph_ACHART_1" hidden="1">#REF!</definedName>
    <definedName name="_10">#REF!</definedName>
    <definedName name="_11">#REF!</definedName>
    <definedName name="_12">#REF!</definedName>
    <definedName name="_13">#REF!</definedName>
    <definedName name="_14">#REF!</definedName>
    <definedName name="_15">#REF!</definedName>
    <definedName name="_16">#REF!</definedName>
    <definedName name="_16.3___VEÍCULOS">#REF!</definedName>
    <definedName name="_16.4___COMBÚSTIVEL">#REF!</definedName>
    <definedName name="_16.5___EQUIPAMENTOS_DE_ESCRITÓRIO">#REF!</definedName>
    <definedName name="_16__123Graph_BCHART_1" hidden="1">#REF!</definedName>
    <definedName name="_17">#REF!</definedName>
    <definedName name="_17.1_MENSALISTA">#REF!</definedName>
    <definedName name="_17.2___HORISTA">#REF!</definedName>
    <definedName name="_18">#REF!</definedName>
    <definedName name="_19">#REF!</definedName>
    <definedName name="_1Excel_BuiltIn_Print_Area_2_1" localSheetId="4">#REF!</definedName>
    <definedName name="_1Excel_BuiltIn_Print_Area_2_1">#REF!</definedName>
    <definedName name="_1Excel_BuiltIn_Print_Area_5_1" localSheetId="4">#REF!</definedName>
    <definedName name="_1Excel_BuiltIn_Print_Area_5_1">#REF!</definedName>
    <definedName name="_2">#N/A</definedName>
    <definedName name="_2.8_CRONOGRAMA_DE_MANUTENÇÃO">#REF!</definedName>
    <definedName name="_2_" hidden="1">#REF!</definedName>
    <definedName name="_2__123Graph_ACHART_3" hidden="1">#REF!</definedName>
    <definedName name="_2__123Graph_BCHART_1" hidden="1">#REF!</definedName>
    <definedName name="_20">#REF!</definedName>
    <definedName name="_21">#REF!</definedName>
    <definedName name="_22">#REF!</definedName>
    <definedName name="_23">#REF!</definedName>
    <definedName name="_24">#REF!</definedName>
    <definedName name="_25">#REF!</definedName>
    <definedName name="_26">#REF!</definedName>
    <definedName name="_27">#REF!</definedName>
    <definedName name="_28">#REF!</definedName>
    <definedName name="_29">#REF!</definedName>
    <definedName name="_3">#N/A</definedName>
    <definedName name="_3__123Graph_XCHART_1" hidden="1">#REF!</definedName>
    <definedName name="_30">#REF!</definedName>
    <definedName name="_30__123Graph_CCHART_1" hidden="1">#REF!</definedName>
    <definedName name="_31">#REF!</definedName>
    <definedName name="_32">#REF!</definedName>
    <definedName name="_33">#REF!</definedName>
    <definedName name="_34">#REF!</definedName>
    <definedName name="_35">#REF!</definedName>
    <definedName name="_36">#REF!</definedName>
    <definedName name="_37">#REF!</definedName>
    <definedName name="_38">#REF!</definedName>
    <definedName name="_39">#REF!</definedName>
    <definedName name="_40">#REF!</definedName>
    <definedName name="_41">#REF!</definedName>
    <definedName name="_42">#REF!</definedName>
    <definedName name="_43">#REF!</definedName>
    <definedName name="_44">#REF!</definedName>
    <definedName name="_44__123Graph_DCHART_1" hidden="1">#REF!</definedName>
    <definedName name="_45">#REF!</definedName>
    <definedName name="_46">#REF!</definedName>
    <definedName name="_47">#REF!</definedName>
    <definedName name="_48">#REF!</definedName>
    <definedName name="_49">#REF!</definedName>
    <definedName name="_50">#REF!</definedName>
    <definedName name="_51">#REF!</definedName>
    <definedName name="_52">#REF!</definedName>
    <definedName name="_53">#REF!</definedName>
    <definedName name="_58__123Graph_ECHART_1" hidden="1">#REF!</definedName>
    <definedName name="_72__123Graph_FCHART_1" hidden="1">#REF!</definedName>
    <definedName name="_86__123Graph_XCHART_3" hidden="1">#REF!</definedName>
    <definedName name="_A1">#REF!</definedName>
    <definedName name="_adw1" localSheetId="4" hidden="1">#REF!</definedName>
    <definedName name="_adw1" hidden="1">#REF!</definedName>
    <definedName name="_ADw23" localSheetId="4" hidden="1">#REF!</definedName>
    <definedName name="_ADw23" hidden="1">#REF!</definedName>
    <definedName name="_adw6" localSheetId="4" hidden="1">#REF!</definedName>
    <definedName name="_adw6" hidden="1">#REF!</definedName>
    <definedName name="_AHM" localSheetId="4">#REF!</definedName>
    <definedName name="_AHM">#REF!</definedName>
    <definedName name="_AHS" localSheetId="4">#REF!</definedName>
    <definedName name="_AHS">#REF!</definedName>
    <definedName name="_ANM" localSheetId="4">#REF!</definedName>
    <definedName name="_ANM">#REF!</definedName>
    <definedName name="_ANS" localSheetId="4">#REF!</definedName>
    <definedName name="_ANS">#REF!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AUX2">#REF!</definedName>
    <definedName name="_awe21" localSheetId="4" hidden="1">#REF!</definedName>
    <definedName name="_awe21" hidden="1">#REF!</definedName>
    <definedName name="_awe213" localSheetId="4" hidden="1">#REF!</definedName>
    <definedName name="_awe213" hidden="1">#REF!</definedName>
    <definedName name="_awe56163" localSheetId="4" hidden="1">#REF!</definedName>
    <definedName name="_awe56163" hidden="1">#REF!</definedName>
    <definedName name="_bar1" localSheetId="4" hidden="1">{#N/A,#N/A,FALSE,"GERAL";#N/A,#N/A,FALSE,"012-96";#N/A,#N/A,FALSE,"018-96";#N/A,#N/A,FALSE,"027-96";#N/A,#N/A,FALSE,"059-96";#N/A,#N/A,FALSE,"076-96";#N/A,#N/A,FALSE,"019-97";#N/A,#N/A,FALSE,"021-97";#N/A,#N/A,FALSE,"022-97";#N/A,#N/A,FALSE,"028-97"}</definedName>
    <definedName name="_bar1" hidden="1">{#N/A,#N/A,FALSE,"GERAL";#N/A,#N/A,FALSE,"012-96";#N/A,#N/A,FALSE,"018-96";#N/A,#N/A,FALSE,"027-96";#N/A,#N/A,FALSE,"059-96";#N/A,#N/A,FALSE,"076-96";#N/A,#N/A,FALSE,"019-97";#N/A,#N/A,FALSE,"021-97";#N/A,#N/A,FALSE,"022-97";#N/A,#N/A,FALSE,"028-97"}</definedName>
    <definedName name="_cab1">#REF!</definedName>
    <definedName name="_cab2">#REF!</definedName>
    <definedName name="_cab3">#REF!</definedName>
    <definedName name="_cab4">#REF!</definedName>
    <definedName name="_cab5">#REF!</definedName>
    <definedName name="_cab6">#REF!</definedName>
    <definedName name="_cab7">#REF!</definedName>
    <definedName name="_CDN" localSheetId="4">#REF!</definedName>
    <definedName name="_CDN">#REF!</definedName>
    <definedName name="_COD1" localSheetId="4">#REF!</definedName>
    <definedName name="_COD1">#REF!</definedName>
    <definedName name="_COD10" localSheetId="4">#REF!</definedName>
    <definedName name="_COD10">#REF!</definedName>
    <definedName name="_COD11">#REF!</definedName>
    <definedName name="_COD13">#REF!</definedName>
    <definedName name="_COD138" localSheetId="4">#REF!</definedName>
    <definedName name="_COD138">#REF!</definedName>
    <definedName name="_COD140" localSheetId="4">#REF!</definedName>
    <definedName name="_COD140">#REF!</definedName>
    <definedName name="_COD144" localSheetId="4">#REF!</definedName>
    <definedName name="_COD144">#REF!</definedName>
    <definedName name="_COD146" localSheetId="4">#REF!</definedName>
    <definedName name="_COD146">#REF!</definedName>
    <definedName name="_COD149" localSheetId="4">#REF!</definedName>
    <definedName name="_COD149">#REF!</definedName>
    <definedName name="_COD152" localSheetId="4">#REF!</definedName>
    <definedName name="_COD152">#REF!</definedName>
    <definedName name="_COD154" localSheetId="4">#REF!</definedName>
    <definedName name="_COD154">#REF!</definedName>
    <definedName name="_COD155" localSheetId="4">#REF!</definedName>
    <definedName name="_COD155">#REF!</definedName>
    <definedName name="_COD156" localSheetId="4">#REF!</definedName>
    <definedName name="_COD156">#REF!</definedName>
    <definedName name="_COD157" localSheetId="4">#REF!</definedName>
    <definedName name="_COD157">#REF!</definedName>
    <definedName name="_COD158" localSheetId="4">#REF!</definedName>
    <definedName name="_COD158">#REF!</definedName>
    <definedName name="_COD16">#REF!</definedName>
    <definedName name="_COD161" localSheetId="4">#REF!</definedName>
    <definedName name="_COD161">#REF!</definedName>
    <definedName name="_COD166" localSheetId="4">#REF!</definedName>
    <definedName name="_COD166">#REF!</definedName>
    <definedName name="_COD168" localSheetId="4">#REF!</definedName>
    <definedName name="_COD168">#REF!</definedName>
    <definedName name="_COD169" localSheetId="4">#REF!</definedName>
    <definedName name="_COD169">#REF!</definedName>
    <definedName name="_COD17">#REF!</definedName>
    <definedName name="_COD170" localSheetId="4">#REF!</definedName>
    <definedName name="_COD170">#REF!</definedName>
    <definedName name="_COD171" localSheetId="4">#REF!</definedName>
    <definedName name="_COD171">#REF!</definedName>
    <definedName name="_COD172" localSheetId="4">#REF!</definedName>
    <definedName name="_COD172">#REF!</definedName>
    <definedName name="_COD173" localSheetId="4">#REF!</definedName>
    <definedName name="_COD173">#REF!</definedName>
    <definedName name="_COD174" localSheetId="4">#REF!</definedName>
    <definedName name="_COD174">#REF!</definedName>
    <definedName name="_COD175" localSheetId="4">#REF!</definedName>
    <definedName name="_COD175">#REF!</definedName>
    <definedName name="_COD177" localSheetId="4">#REF!</definedName>
    <definedName name="_COD177">#REF!</definedName>
    <definedName name="_COD178" localSheetId="4">#REF!</definedName>
    <definedName name="_COD178">#REF!</definedName>
    <definedName name="_COD179" localSheetId="4">#REF!</definedName>
    <definedName name="_COD179">#REF!</definedName>
    <definedName name="_COD180" localSheetId="4">#REF!</definedName>
    <definedName name="_COD180">#REF!</definedName>
    <definedName name="_COD184" localSheetId="4">#REF!</definedName>
    <definedName name="_COD184">#REF!</definedName>
    <definedName name="_COD189" localSheetId="4">#REF!</definedName>
    <definedName name="_COD189">#REF!</definedName>
    <definedName name="_COD191" localSheetId="4">#REF!</definedName>
    <definedName name="_COD191">#REF!</definedName>
    <definedName name="_COD192" localSheetId="4">#REF!</definedName>
    <definedName name="_COD192">#REF!</definedName>
    <definedName name="_COD195" localSheetId="4">#REF!</definedName>
    <definedName name="_COD195">#REF!</definedName>
    <definedName name="_COD198" localSheetId="4">#REF!</definedName>
    <definedName name="_COD198">#REF!</definedName>
    <definedName name="_COD199" localSheetId="4">#REF!</definedName>
    <definedName name="_COD199">#REF!</definedName>
    <definedName name="_COD200">#REF!</definedName>
    <definedName name="_COD21">#REF!</definedName>
    <definedName name="_COD23">#REF!</definedName>
    <definedName name="_COD24">#REF!</definedName>
    <definedName name="_COD28">#REF!</definedName>
    <definedName name="_COD29">#REF!</definedName>
    <definedName name="_COD32">#REF!</definedName>
    <definedName name="_COD35">#REF!</definedName>
    <definedName name="_COD36">#REF!</definedName>
    <definedName name="_COD37">#REF!</definedName>
    <definedName name="_COD41">#REF!</definedName>
    <definedName name="_COD42">#REF!</definedName>
    <definedName name="_COD43">#REF!</definedName>
    <definedName name="_COD44">#REF!</definedName>
    <definedName name="_COD46">#REF!</definedName>
    <definedName name="_COD47">#REF!</definedName>
    <definedName name="_COD49">#REF!</definedName>
    <definedName name="_COD50">#REF!</definedName>
    <definedName name="_COD55">#REF!</definedName>
    <definedName name="_COD60">#REF!</definedName>
    <definedName name="_COD62">#REF!</definedName>
    <definedName name="_COD65">#REF!</definedName>
    <definedName name="_COD66">#REF!</definedName>
    <definedName name="_COD68">#REF!</definedName>
    <definedName name="_COD8">#REF!</definedName>
    <definedName name="_COL1">#REF!</definedName>
    <definedName name="_COL2">#REF!</definedName>
    <definedName name="_COM010201">#REF!</definedName>
    <definedName name="_COM010202">#REF!</definedName>
    <definedName name="_COM010205">#REF!</definedName>
    <definedName name="_COM010206">#REF!</definedName>
    <definedName name="_COM010210">#REF!</definedName>
    <definedName name="_COM010301">#REF!</definedName>
    <definedName name="_COM010401">#REF!</definedName>
    <definedName name="_COM010402">#REF!</definedName>
    <definedName name="_COM010407">#REF!</definedName>
    <definedName name="_COM010413">#REF!</definedName>
    <definedName name="_COM010501">#REF!</definedName>
    <definedName name="_COM010503">#REF!</definedName>
    <definedName name="_COM010505">#REF!</definedName>
    <definedName name="_COM010509">#REF!</definedName>
    <definedName name="_COM010512">#REF!</definedName>
    <definedName name="_COM010518">#REF!</definedName>
    <definedName name="_COM010519">#REF!</definedName>
    <definedName name="_COM010521">#REF!</definedName>
    <definedName name="_COM010523">#REF!</definedName>
    <definedName name="_COM010532">#REF!</definedName>
    <definedName name="_COM010533">#REF!</definedName>
    <definedName name="_COM010536">#REF!</definedName>
    <definedName name="_COM010701">#REF!</definedName>
    <definedName name="_COM010703">#REF!</definedName>
    <definedName name="_COM010705">#REF!</definedName>
    <definedName name="_COM010708">#REF!</definedName>
    <definedName name="_COM010710">#REF!</definedName>
    <definedName name="_COM010712">#REF!</definedName>
    <definedName name="_COM010717">#REF!</definedName>
    <definedName name="_COM010718">#REF!</definedName>
    <definedName name="_COM020201">#REF!</definedName>
    <definedName name="_COM020205">#REF!</definedName>
    <definedName name="_COM020211">#REF!</definedName>
    <definedName name="_COM020217">#REF!</definedName>
    <definedName name="_COM030102">#REF!</definedName>
    <definedName name="_COM030201">#REF!</definedName>
    <definedName name="_COM030303">#REF!</definedName>
    <definedName name="_COM030317">#REF!</definedName>
    <definedName name="_COM040101">#REF!</definedName>
    <definedName name="_COM040202">#REF!</definedName>
    <definedName name="_COM050103">#REF!</definedName>
    <definedName name="_COM050207">#REF!</definedName>
    <definedName name="_COM060101">#REF!</definedName>
    <definedName name="_COM080101">#REF!</definedName>
    <definedName name="_COM080310">#REF!</definedName>
    <definedName name="_COM090101">#REF!</definedName>
    <definedName name="_COM100302">#REF!</definedName>
    <definedName name="_COM110101">#REF!</definedName>
    <definedName name="_COM110104">#REF!</definedName>
    <definedName name="_COM110107">#REF!</definedName>
    <definedName name="_COM120101">#REF!</definedName>
    <definedName name="_COM120105">#REF!</definedName>
    <definedName name="_COM120106">#REF!</definedName>
    <definedName name="_COM120107">#REF!</definedName>
    <definedName name="_COM120110">#REF!</definedName>
    <definedName name="_COM120150">#REF!</definedName>
    <definedName name="_COM130101">#REF!</definedName>
    <definedName name="_COM130103">#REF!</definedName>
    <definedName name="_COM130304">#REF!</definedName>
    <definedName name="_COM130401">#REF!</definedName>
    <definedName name="_COM140102">#REF!</definedName>
    <definedName name="_COM140109">#REF!</definedName>
    <definedName name="_COM140113">#REF!</definedName>
    <definedName name="_COM140122">#REF!</definedName>
    <definedName name="_COM140126">#REF!</definedName>
    <definedName name="_COM140129">#REF!</definedName>
    <definedName name="_COM140135">#REF!</definedName>
    <definedName name="_COM140143">#REF!</definedName>
    <definedName name="_COM140145">#REF!</definedName>
    <definedName name="_COM150130">#REF!</definedName>
    <definedName name="_COM170101">#REF!</definedName>
    <definedName name="_COM170102">#REF!</definedName>
    <definedName name="_COM170103">#REF!</definedName>
    <definedName name="_CPN" localSheetId="4">#REF!</definedName>
    <definedName name="_CPN">#REF!</definedName>
    <definedName name="_DAT11" localSheetId="4">#REF!</definedName>
    <definedName name="_DAT11">#REF!</definedName>
    <definedName name="_DAT12" localSheetId="4">#REF!</definedName>
    <definedName name="_DAT12">#REF!</definedName>
    <definedName name="_DAT13" localSheetId="4">#REF!</definedName>
    <definedName name="_DAT13">#REF!</definedName>
    <definedName name="_DAT15" localSheetId="4">#REF!</definedName>
    <definedName name="_DAT15">#REF!</definedName>
    <definedName name="_DAT16" localSheetId="4">#REF!</definedName>
    <definedName name="_DAT16">#REF!</definedName>
    <definedName name="_DAT3" localSheetId="4">#REF!</definedName>
    <definedName name="_DAT3">#REF!</definedName>
    <definedName name="_DAT4" localSheetId="4">#REF!</definedName>
    <definedName name="_DAT4">#REF!</definedName>
    <definedName name="_DAT5" localSheetId="4">#REF!</definedName>
    <definedName name="_DAT5">#REF!</definedName>
    <definedName name="_DAT6" localSheetId="4">#REF!</definedName>
    <definedName name="_DAT6">#REF!</definedName>
    <definedName name="_DAT7" localSheetId="4">#REF!</definedName>
    <definedName name="_DAT7">#REF!</definedName>
    <definedName name="_DAT8" localSheetId="4">#REF!</definedName>
    <definedName name="_DAT8">#REF!</definedName>
    <definedName name="_DCD" localSheetId="4">#REF!</definedName>
    <definedName name="_DCD">#REF!</definedName>
    <definedName name="_DCI" localSheetId="4">#REF!</definedName>
    <definedName name="_DCI">#REF!</definedName>
    <definedName name="_DEB" localSheetId="4">#REF!</definedName>
    <definedName name="_DEB">#REF!</definedName>
    <definedName name="_DEC" localSheetId="4">#REF!</definedName>
    <definedName name="_DEC">#REF!</definedName>
    <definedName name="_DGP" localSheetId="4">#REF!</definedName>
    <definedName name="_DGP">#REF!</definedName>
    <definedName name="_DI3" localSheetId="4">#REF!</definedName>
    <definedName name="_DI3">#REF!</definedName>
    <definedName name="_DLM" localSheetId="4">#REF!</definedName>
    <definedName name="_DLM">#REF!</definedName>
    <definedName name="_DLS" localSheetId="4">#REF!</definedName>
    <definedName name="_DLS">#REF!</definedName>
    <definedName name="_DMT" localSheetId="4">#REF!</definedName>
    <definedName name="_DMT">#REF!</definedName>
    <definedName name="_DPL" localSheetId="4">#REF!</definedName>
    <definedName name="_DPL">#REF!</definedName>
    <definedName name="_dpm" localSheetId="4">#REF!</definedName>
    <definedName name="_dpm">#REF!</definedName>
    <definedName name="_DSE" localSheetId="4">#REF!</definedName>
    <definedName name="_DSE">#REF!</definedName>
    <definedName name="_DSM" localSheetId="4">#REF!</definedName>
    <definedName name="_DSM">#REF!</definedName>
    <definedName name="_DVL" localSheetId="4">#REF!</definedName>
    <definedName name="_DVL">#REF!</definedName>
    <definedName name="_DVT" localSheetId="4">#REF!</definedName>
    <definedName name="_DVT">#REF!</definedName>
    <definedName name="_Fill" hidden="1">#REF!</definedName>
    <definedName name="_xlnm._FilterDatabase" localSheetId="2" hidden="1">CGO!$A$4:$P$4</definedName>
    <definedName name="_xlnm._FilterDatabase" localSheetId="3" hidden="1">CTRL_SS!$C$2:$AL$45</definedName>
    <definedName name="_xlnm._FilterDatabase" hidden="1">#REF!</definedName>
    <definedName name="_GLB2">#REF!</definedName>
    <definedName name="_HA1" localSheetId="4">#REF!</definedName>
    <definedName name="_HA1">#REF!</definedName>
    <definedName name="_HA2" localSheetId="4">#REF!</definedName>
    <definedName name="_HA2">#REF!</definedName>
    <definedName name="_HA3" localSheetId="4">#REF!</definedName>
    <definedName name="_HA3">#REF!</definedName>
    <definedName name="_HAA" localSheetId="4">#REF!</definedName>
    <definedName name="_HAA">#REF!</definedName>
    <definedName name="_HAS" localSheetId="4">#REF!</definedName>
    <definedName name="_HAS">#REF!</definedName>
    <definedName name="_HCE" localSheetId="4">#REF!</definedName>
    <definedName name="_HCE">#REF!</definedName>
    <definedName name="_HNM" localSheetId="4">#REF!</definedName>
    <definedName name="_HNM">#REF!</definedName>
    <definedName name="_HNS" localSheetId="4">#REF!</definedName>
    <definedName name="_HNS">#REF!</definedName>
    <definedName name="_HNV" localSheetId="4">#REF!</definedName>
    <definedName name="_HNV">#REF!</definedName>
    <definedName name="_HP0" localSheetId="4">#REF!</definedName>
    <definedName name="_HP0">#REF!</definedName>
    <definedName name="_HP1" localSheetId="4">#REF!</definedName>
    <definedName name="_HP1">#REF!</definedName>
    <definedName name="_HP2" localSheetId="4">#REF!</definedName>
    <definedName name="_HP2">#REF!</definedName>
    <definedName name="_HP3" localSheetId="4">#REF!</definedName>
    <definedName name="_HP3">#REF!</definedName>
    <definedName name="_HPC" localSheetId="4">#REF!</definedName>
    <definedName name="_HPC">#REF!</definedName>
    <definedName name="_HSC" localSheetId="4">#REF!</definedName>
    <definedName name="_HSC">#REF!</definedName>
    <definedName name="_HT1" localSheetId="4">#REF!</definedName>
    <definedName name="_HT1">#REF!</definedName>
    <definedName name="_HT2" localSheetId="4">#REF!</definedName>
    <definedName name="_HT2">#REF!</definedName>
    <definedName name="_HT3" localSheetId="4">#REF!</definedName>
    <definedName name="_HT3">#REF!</definedName>
    <definedName name="_HT4" localSheetId="4">#REF!</definedName>
    <definedName name="_HT4">#REF!</definedName>
    <definedName name="_HTP" localSheetId="4">#REF!</definedName>
    <definedName name="_HTP">#REF!</definedName>
    <definedName name="_i3">#REF!</definedName>
    <definedName name="_Key1" hidden="1">#REF!</definedName>
    <definedName name="_Key2" hidden="1">#REF!</definedName>
    <definedName name="_LI1">#REF!</definedName>
    <definedName name="_LI2">#REF!</definedName>
    <definedName name="_LUP1">#N/A</definedName>
    <definedName name="_LUP2">#N/A</definedName>
    <definedName name="_MAO010201">#REF!</definedName>
    <definedName name="_MAO010202">#REF!</definedName>
    <definedName name="_MAO010205">#REF!</definedName>
    <definedName name="_MAO010206">#REF!</definedName>
    <definedName name="_MAO010210">#REF!</definedName>
    <definedName name="_MAO010401">#REF!</definedName>
    <definedName name="_MAO010402">#REF!</definedName>
    <definedName name="_MAO010407">#REF!</definedName>
    <definedName name="_MAO010413">#REF!</definedName>
    <definedName name="_MAO010501">#REF!</definedName>
    <definedName name="_MAO010503">#REF!</definedName>
    <definedName name="_MAO010505">#REF!</definedName>
    <definedName name="_MAO010509">#REF!</definedName>
    <definedName name="_MAO010512">#REF!</definedName>
    <definedName name="_MAO010518">#REF!</definedName>
    <definedName name="_MAO010519">#REF!</definedName>
    <definedName name="_MAO010521">#REF!</definedName>
    <definedName name="_MAO010523">#REF!</definedName>
    <definedName name="_MAO010532">#REF!</definedName>
    <definedName name="_MAO010533">#REF!</definedName>
    <definedName name="_MAO010536">#REF!</definedName>
    <definedName name="_MAO010701">#REF!</definedName>
    <definedName name="_MAO010703">#REF!</definedName>
    <definedName name="_MAO010705">#REF!</definedName>
    <definedName name="_MAO010708">#REF!</definedName>
    <definedName name="_MAO010710">#REF!</definedName>
    <definedName name="_MAO010712">#REF!</definedName>
    <definedName name="_MAO010717">#REF!</definedName>
    <definedName name="_MAO020201">#REF!</definedName>
    <definedName name="_MAO020205">#REF!</definedName>
    <definedName name="_MAO020211">#REF!</definedName>
    <definedName name="_MAO020217">#REF!</definedName>
    <definedName name="_MAO030102">#REF!</definedName>
    <definedName name="_MAO030201">#REF!</definedName>
    <definedName name="_MAO030303">#REF!</definedName>
    <definedName name="_MAO030317">#REF!</definedName>
    <definedName name="_MAO040101">#REF!</definedName>
    <definedName name="_MAO040202">#REF!</definedName>
    <definedName name="_MAO050103">#REF!</definedName>
    <definedName name="_MAO050207">#REF!</definedName>
    <definedName name="_MAO060101">#REF!</definedName>
    <definedName name="_MAO080310">#REF!</definedName>
    <definedName name="_MAO090101">#REF!</definedName>
    <definedName name="_MAO110101">#REF!</definedName>
    <definedName name="_MAO110104">#REF!</definedName>
    <definedName name="_MAO110107">#REF!</definedName>
    <definedName name="_MAO120101">#REF!</definedName>
    <definedName name="_MAO120105">#REF!</definedName>
    <definedName name="_MAO120106">#REF!</definedName>
    <definedName name="_MAO120107">#REF!</definedName>
    <definedName name="_MAO120110">#REF!</definedName>
    <definedName name="_MAO120150">#REF!</definedName>
    <definedName name="_MAO130101">#REF!</definedName>
    <definedName name="_MAO130103">#REF!</definedName>
    <definedName name="_MAO130304">#REF!</definedName>
    <definedName name="_MAO130401">#REF!</definedName>
    <definedName name="_MAO140102">#REF!</definedName>
    <definedName name="_MAO140109">#REF!</definedName>
    <definedName name="_MAO140113">#REF!</definedName>
    <definedName name="_MAO140122">#REF!</definedName>
    <definedName name="_MAO140126">#REF!</definedName>
    <definedName name="_MAO140129">#REF!</definedName>
    <definedName name="_MAO140135">#REF!</definedName>
    <definedName name="_MAO140143">#REF!</definedName>
    <definedName name="_MAO140145">#REF!</definedName>
    <definedName name="_MAT010301">#REF!</definedName>
    <definedName name="_MAT010401">#REF!</definedName>
    <definedName name="_MAT010402">#REF!</definedName>
    <definedName name="_MAT010407">#REF!</definedName>
    <definedName name="_MAT010413">#REF!</definedName>
    <definedName name="_MAT010536">#REF!</definedName>
    <definedName name="_MAT010703">#REF!</definedName>
    <definedName name="_MAT010708">#REF!</definedName>
    <definedName name="_MAT010710">#REF!</definedName>
    <definedName name="_MAT010718">#REF!</definedName>
    <definedName name="_MAT020201">#REF!</definedName>
    <definedName name="_MAT020205">#REF!</definedName>
    <definedName name="_MAT020211">#REF!</definedName>
    <definedName name="_MAT030102">#REF!</definedName>
    <definedName name="_MAT030201">#REF!</definedName>
    <definedName name="_MAT030303">#REF!</definedName>
    <definedName name="_MAT030317">#REF!</definedName>
    <definedName name="_MAT040101">#REF!</definedName>
    <definedName name="_MAT040202">#REF!</definedName>
    <definedName name="_MAT050103">#REF!</definedName>
    <definedName name="_MAT050207">#REF!</definedName>
    <definedName name="_MAT060101">#REF!</definedName>
    <definedName name="_MAT080101">#REF!</definedName>
    <definedName name="_MAT080310">#REF!</definedName>
    <definedName name="_MAT090101">#REF!</definedName>
    <definedName name="_MAT100302">#REF!</definedName>
    <definedName name="_MAT110101">#REF!</definedName>
    <definedName name="_MAT110104">#REF!</definedName>
    <definedName name="_MAT110107">#REF!</definedName>
    <definedName name="_MAT120101">#REF!</definedName>
    <definedName name="_MAT120105">#REF!</definedName>
    <definedName name="_MAT120106">#REF!</definedName>
    <definedName name="_MAT120107">#REF!</definedName>
    <definedName name="_MAT120110">#REF!</definedName>
    <definedName name="_MAT120150">#REF!</definedName>
    <definedName name="_MAT130101">#REF!</definedName>
    <definedName name="_MAT130103">#REF!</definedName>
    <definedName name="_MAT130304">#REF!</definedName>
    <definedName name="_MAT130401">#REF!</definedName>
    <definedName name="_MAT140102">#REF!</definedName>
    <definedName name="_MAT140109">#REF!</definedName>
    <definedName name="_MAT140113">#REF!</definedName>
    <definedName name="_MAT140122">#REF!</definedName>
    <definedName name="_MAT140126">#REF!</definedName>
    <definedName name="_MAT140129">#REF!</definedName>
    <definedName name="_MAT140135">#REF!</definedName>
    <definedName name="_MAT140143">#REF!</definedName>
    <definedName name="_MAT140145">#REF!</definedName>
    <definedName name="_MAT150130">#REF!</definedName>
    <definedName name="_MAT170101">#REF!</definedName>
    <definedName name="_MAT170102">#REF!</definedName>
    <definedName name="_MAT170103">#REF!</definedName>
    <definedName name="_MMT" localSheetId="4">#REF!</definedName>
    <definedName name="_MMT">#REF!</definedName>
    <definedName name="_MTV1" localSheetId="4">#REF!</definedName>
    <definedName name="_MTV1">#REF!</definedName>
    <definedName name="_MTV2" localSheetId="4">#REF!</definedName>
    <definedName name="_MTV2">#REF!</definedName>
    <definedName name="_MTV3" localSheetId="4">#REF!</definedName>
    <definedName name="_MTV3">#REF!</definedName>
    <definedName name="_MTV4" localSheetId="4">#REF!</definedName>
    <definedName name="_MTV4">#REF!</definedName>
    <definedName name="_MTV5" localSheetId="4">#REF!</definedName>
    <definedName name="_MTV5">#REF!</definedName>
    <definedName name="_ne1">#REF!</definedName>
    <definedName name="_ne2">#REF!</definedName>
    <definedName name="_ne3">#REF!</definedName>
    <definedName name="_ne4">#REF!</definedName>
    <definedName name="_Order1" localSheetId="4" hidden="1">255</definedName>
    <definedName name="_Order1" hidden="1">0</definedName>
    <definedName name="_Order2" localSheetId="4" hidden="1">255</definedName>
    <definedName name="_Order2" hidden="1">0</definedName>
    <definedName name="_PAG1" localSheetId="4">#REF!</definedName>
    <definedName name="_PAG1">#REF!</definedName>
    <definedName name="_PAG10" localSheetId="4">#REF!</definedName>
    <definedName name="_PAG10">#REF!</definedName>
    <definedName name="_PAG11" localSheetId="4">#REF!</definedName>
    <definedName name="_PAG11">#REF!</definedName>
    <definedName name="_PAG12" localSheetId="4">#REF!</definedName>
    <definedName name="_PAG12">#REF!</definedName>
    <definedName name="_PAG13" localSheetId="4">#REF!</definedName>
    <definedName name="_PAG13">#REF!</definedName>
    <definedName name="_PAG14" localSheetId="4">#REF!</definedName>
    <definedName name="_PAG14">#REF!</definedName>
    <definedName name="_PAG15" localSheetId="4">#REF!</definedName>
    <definedName name="_PAG15">#REF!</definedName>
    <definedName name="_PAG2" localSheetId="4">#REF!</definedName>
    <definedName name="_PAG2">#REF!</definedName>
    <definedName name="_PAG3" localSheetId="4">#REF!</definedName>
    <definedName name="_PAG3">#REF!</definedName>
    <definedName name="_PAG4" localSheetId="4">#REF!</definedName>
    <definedName name="_PAG4">#REF!</definedName>
    <definedName name="_PAG5" localSheetId="4">#REF!</definedName>
    <definedName name="_PAG5">#REF!</definedName>
    <definedName name="_PAG6" localSheetId="4">#REF!</definedName>
    <definedName name="_PAG6">#REF!</definedName>
    <definedName name="_PAG7" localSheetId="4">#REF!</definedName>
    <definedName name="_PAG7">#REF!</definedName>
    <definedName name="_PAG8" localSheetId="4">#REF!</definedName>
    <definedName name="_PAG8">#REF!</definedName>
    <definedName name="_PAG9" localSheetId="4">#REF!</definedName>
    <definedName name="_PAG9">#REF!</definedName>
    <definedName name="_pe1">#REF!</definedName>
    <definedName name="_pe2">#REF!</definedName>
    <definedName name="_pe3">#REF!</definedName>
    <definedName name="_pe4">#REF!</definedName>
    <definedName name="_pj34" localSheetId="4">#REF!</definedName>
    <definedName name="_pj34">#REF!</definedName>
    <definedName name="_pl056" localSheetId="4">#REF!</definedName>
    <definedName name="_pl056">#REF!</definedName>
    <definedName name="_PPU1" localSheetId="4" hidden="1">{#N/A,#N/A,FALSE,"Cronograma";#N/A,#N/A,FALSE,"Cronogr. 2"}</definedName>
    <definedName name="_PPU1" hidden="1">{#N/A,#N/A,FALSE,"Cronograma";#N/A,#N/A,FALSE,"Cronogr. 2"}</definedName>
    <definedName name="_ppu2" localSheetId="4" hidden="1">{#N/A,#N/A,FALSE,"Cronograma";#N/A,#N/A,FALSE,"Cronogr. 2"}</definedName>
    <definedName name="_ppu2" hidden="1">{#N/A,#N/A,FALSE,"Cronograma";#N/A,#N/A,FALSE,"Cronogr. 2"}</definedName>
    <definedName name="_PRE010201">#REF!</definedName>
    <definedName name="_PRE010202">#REF!</definedName>
    <definedName name="_PRE010205">#REF!</definedName>
    <definedName name="_PRE010206">#REF!</definedName>
    <definedName name="_PRE010210">#REF!</definedName>
    <definedName name="_PRE010301">#REF!</definedName>
    <definedName name="_PRE010401">#REF!</definedName>
    <definedName name="_PRE010402">#REF!</definedName>
    <definedName name="_PRE010407">#REF!</definedName>
    <definedName name="_PRE010413">#REF!</definedName>
    <definedName name="_PRE010501">#REF!</definedName>
    <definedName name="_PRE010503">#REF!</definedName>
    <definedName name="_PRE010505">#REF!</definedName>
    <definedName name="_PRE010509">#REF!</definedName>
    <definedName name="_PRE010512">#REF!</definedName>
    <definedName name="_PRE010518">#REF!</definedName>
    <definedName name="_PRE010519">#REF!</definedName>
    <definedName name="_PRE010521">#REF!</definedName>
    <definedName name="_PRE010523">#REF!</definedName>
    <definedName name="_PRE010532">#REF!</definedName>
    <definedName name="_PRE010533">#REF!</definedName>
    <definedName name="_PRE010536">#REF!</definedName>
    <definedName name="_PRE010701">#REF!</definedName>
    <definedName name="_PRE010703">#REF!</definedName>
    <definedName name="_PRE010705">#REF!</definedName>
    <definedName name="_PRE010708">#REF!</definedName>
    <definedName name="_PRE010710">#REF!</definedName>
    <definedName name="_PRE010712">#REF!</definedName>
    <definedName name="_PRE010717">#REF!</definedName>
    <definedName name="_PRE010718">#REF!</definedName>
    <definedName name="_PRE020201">#REF!</definedName>
    <definedName name="_PRE020205">#REF!</definedName>
    <definedName name="_PRE020211">#REF!</definedName>
    <definedName name="_PRE020217">#REF!</definedName>
    <definedName name="_PRE030102">#REF!</definedName>
    <definedName name="_PRE030201">#REF!</definedName>
    <definedName name="_PRE030303">#REF!</definedName>
    <definedName name="_PRE030317">#REF!</definedName>
    <definedName name="_PRE040101">#REF!</definedName>
    <definedName name="_PRE040202">#REF!</definedName>
    <definedName name="_PRE050103">#REF!</definedName>
    <definedName name="_PRE050207">#REF!</definedName>
    <definedName name="_PRE060101">#REF!</definedName>
    <definedName name="_PRE080101">#REF!</definedName>
    <definedName name="_PRE080310">#REF!</definedName>
    <definedName name="_PRE090101">#REF!</definedName>
    <definedName name="_PRE100302">#REF!</definedName>
    <definedName name="_PRE110101">#REF!</definedName>
    <definedName name="_PRE110104">#REF!</definedName>
    <definedName name="_PRE110107">#REF!</definedName>
    <definedName name="_PRE120101">#REF!</definedName>
    <definedName name="_PRE120105">#REF!</definedName>
    <definedName name="_PRE120106">#REF!</definedName>
    <definedName name="_PRE120107">#REF!</definedName>
    <definedName name="_PRE120110">#REF!</definedName>
    <definedName name="_PRE120150">#REF!</definedName>
    <definedName name="_PRE130101">#REF!</definedName>
    <definedName name="_PRE130103">#REF!</definedName>
    <definedName name="_PRE130304">#REF!</definedName>
    <definedName name="_PRE130401">#REF!</definedName>
    <definedName name="_PRE140102">#REF!</definedName>
    <definedName name="_PRE140109">#REF!</definedName>
    <definedName name="_PRE140113">#REF!</definedName>
    <definedName name="_PRE140122">#REF!</definedName>
    <definedName name="_PRE140126">#REF!</definedName>
    <definedName name="_PRE140129">#REF!</definedName>
    <definedName name="_PRE140135">#REF!</definedName>
    <definedName name="_PRE140143">#REF!</definedName>
    <definedName name="_PRE140145">#REF!</definedName>
    <definedName name="_PRE150130">#REF!</definedName>
    <definedName name="_PRE170101">#REF!</definedName>
    <definedName name="_PRE170102">#REF!</definedName>
    <definedName name="_PRE170103">#REF!</definedName>
    <definedName name="_QUA010201">#REF!</definedName>
    <definedName name="_QUA010202">#REF!</definedName>
    <definedName name="_QUA010205">#REF!</definedName>
    <definedName name="_QUA010206">#REF!</definedName>
    <definedName name="_QUA010210">#REF!</definedName>
    <definedName name="_QUA010301">#REF!</definedName>
    <definedName name="_QUA010401">#REF!</definedName>
    <definedName name="_QUA010402">#REF!</definedName>
    <definedName name="_QUA010407">#REF!</definedName>
    <definedName name="_QUA010413">#REF!</definedName>
    <definedName name="_QUA010501">#REF!</definedName>
    <definedName name="_QUA010503">#REF!</definedName>
    <definedName name="_QUA010505">#REF!</definedName>
    <definedName name="_QUA010509">#REF!</definedName>
    <definedName name="_QUA010512">#REF!</definedName>
    <definedName name="_QUA010518">#REF!</definedName>
    <definedName name="_QUA010519">#REF!</definedName>
    <definedName name="_QUA010521">#REF!</definedName>
    <definedName name="_QUA010523">#REF!</definedName>
    <definedName name="_QUA010532">#REF!</definedName>
    <definedName name="_QUA010533">#REF!</definedName>
    <definedName name="_QUA010536">#REF!</definedName>
    <definedName name="_QUA010701">#REF!</definedName>
    <definedName name="_QUA010703">#REF!</definedName>
    <definedName name="_QUA010705">#REF!</definedName>
    <definedName name="_QUA010708">#REF!</definedName>
    <definedName name="_QUA010710">#REF!</definedName>
    <definedName name="_QUA010712">#REF!</definedName>
    <definedName name="_QUA010717">#REF!</definedName>
    <definedName name="_QUA010718">#REF!</definedName>
    <definedName name="_QUA020201">#REF!</definedName>
    <definedName name="_QUA020205">#REF!</definedName>
    <definedName name="_QUA020211">#REF!</definedName>
    <definedName name="_QUA020217">#REF!</definedName>
    <definedName name="_QUA030102">#REF!</definedName>
    <definedName name="_QUA030201">#REF!</definedName>
    <definedName name="_QUA030303">#REF!</definedName>
    <definedName name="_QUA030317">#REF!</definedName>
    <definedName name="_QUA040101">#REF!</definedName>
    <definedName name="_QUA040202">#REF!</definedName>
    <definedName name="_QUA050103">#REF!</definedName>
    <definedName name="_QUA050207">#REF!</definedName>
    <definedName name="_QUA060101">#REF!</definedName>
    <definedName name="_QUA080101">#REF!</definedName>
    <definedName name="_QUA080310">#REF!</definedName>
    <definedName name="_QUA090101">#REF!</definedName>
    <definedName name="_QUA100302">#REF!</definedName>
    <definedName name="_QUA110101">#REF!</definedName>
    <definedName name="_QUA110104">#REF!</definedName>
    <definedName name="_QUA110107">#REF!</definedName>
    <definedName name="_QUA120101">#REF!</definedName>
    <definedName name="_QUA120105">#REF!</definedName>
    <definedName name="_QUA120106">#REF!</definedName>
    <definedName name="_QUA120107">#REF!</definedName>
    <definedName name="_QUA120110">#REF!</definedName>
    <definedName name="_QUA120150">#REF!</definedName>
    <definedName name="_QUA130101">#REF!</definedName>
    <definedName name="_QUA130103">#REF!</definedName>
    <definedName name="_QUA130304">#REF!</definedName>
    <definedName name="_QUA130401">#REF!</definedName>
    <definedName name="_QUA140102">#REF!</definedName>
    <definedName name="_QUA140109">#REF!</definedName>
    <definedName name="_QUA140113">#REF!</definedName>
    <definedName name="_QUA140122">#REF!</definedName>
    <definedName name="_QUA140126">#REF!</definedName>
    <definedName name="_QUA140129">#REF!</definedName>
    <definedName name="_QUA140135">#REF!</definedName>
    <definedName name="_QUA140143">#REF!</definedName>
    <definedName name="_QUA140145">#REF!</definedName>
    <definedName name="_QUA150130">#REF!</definedName>
    <definedName name="_QUA170101">#REF!</definedName>
    <definedName name="_QUA170102">#REF!</definedName>
    <definedName name="_QUA170103">#REF!</definedName>
    <definedName name="_R" localSheetId="2">#REF!</definedName>
    <definedName name="_R" localSheetId="3">#REF!</definedName>
    <definedName name="_R" localSheetId="0">#REF!</definedName>
    <definedName name="_R" localSheetId="4">#REF!</definedName>
    <definedName name="_R">#REF!</definedName>
    <definedName name="_REC11100">#REF!</definedName>
    <definedName name="_REC11110">#REF!</definedName>
    <definedName name="_REC11115">#REF!</definedName>
    <definedName name="_REC11125">#REF!</definedName>
    <definedName name="_REC11130">#REF!</definedName>
    <definedName name="_REC11135">#REF!</definedName>
    <definedName name="_REC11145">#REF!</definedName>
    <definedName name="_REC11150">#REF!</definedName>
    <definedName name="_REC11165">#REF!</definedName>
    <definedName name="_REC11170">#REF!</definedName>
    <definedName name="_REC11180">#REF!</definedName>
    <definedName name="_REC11185">#REF!</definedName>
    <definedName name="_REC11220">#REF!</definedName>
    <definedName name="_REC12105">#REF!</definedName>
    <definedName name="_REC12555">#REF!</definedName>
    <definedName name="_REC12570">#REF!</definedName>
    <definedName name="_REC12575">#REF!</definedName>
    <definedName name="_REC12580">#REF!</definedName>
    <definedName name="_REC12600">#REF!</definedName>
    <definedName name="_REC12610">#REF!</definedName>
    <definedName name="_REC12630">#REF!</definedName>
    <definedName name="_REC12631">#REF!</definedName>
    <definedName name="_REC12640">#REF!</definedName>
    <definedName name="_REC12645">#REF!</definedName>
    <definedName name="_REC12665">#REF!</definedName>
    <definedName name="_REC12690">#REF!</definedName>
    <definedName name="_REC12700">#REF!</definedName>
    <definedName name="_REC12710">#REF!</definedName>
    <definedName name="_REC13111">#REF!</definedName>
    <definedName name="_REC13112">#REF!</definedName>
    <definedName name="_REC13121">#REF!</definedName>
    <definedName name="_REC13720">#REF!</definedName>
    <definedName name="_REC14100">#REF!</definedName>
    <definedName name="_REC14161">#REF!</definedName>
    <definedName name="_REC14195">#REF!</definedName>
    <definedName name="_REC14205">#REF!</definedName>
    <definedName name="_REC14260">#REF!</definedName>
    <definedName name="_REC14500">#REF!</definedName>
    <definedName name="_REC14515">#REF!</definedName>
    <definedName name="_REC14555">#REF!</definedName>
    <definedName name="_REC14565">#REF!</definedName>
    <definedName name="_REC15135">#REF!</definedName>
    <definedName name="_REC15140">#REF!</definedName>
    <definedName name="_REC15195">#REF!</definedName>
    <definedName name="_REC15225">#REF!</definedName>
    <definedName name="_REC15230">#REF!</definedName>
    <definedName name="_REC15515">#REF!</definedName>
    <definedName name="_REC15560">#REF!</definedName>
    <definedName name="_REC15565">#REF!</definedName>
    <definedName name="_REC15570">#REF!</definedName>
    <definedName name="_REC15575">#REF!</definedName>
    <definedName name="_REC15583">#REF!</definedName>
    <definedName name="_REC15590">#REF!</definedName>
    <definedName name="_REC15591">#REF!</definedName>
    <definedName name="_REC15610">#REF!</definedName>
    <definedName name="_REC15625">#REF!</definedName>
    <definedName name="_REC15635">#REF!</definedName>
    <definedName name="_REC15655">#REF!</definedName>
    <definedName name="_REC15665">#REF!</definedName>
    <definedName name="_REC16515">#REF!</definedName>
    <definedName name="_REC16535">#REF!</definedName>
    <definedName name="_REC17140">#REF!</definedName>
    <definedName name="_REC19500">#REF!</definedName>
    <definedName name="_REC19501">#REF!</definedName>
    <definedName name="_REC19502">#REF!</definedName>
    <definedName name="_REC19503">#REF!</definedName>
    <definedName name="_REC19504">#REF!</definedName>
    <definedName name="_REC19505">#REF!</definedName>
    <definedName name="_REC20100">#REF!</definedName>
    <definedName name="_REC20105">#REF!</definedName>
    <definedName name="_REC20110">#REF!</definedName>
    <definedName name="_REC20115">#REF!</definedName>
    <definedName name="_REC20130">#REF!</definedName>
    <definedName name="_REC20135">#REF!</definedName>
    <definedName name="_REC20140">#REF!</definedName>
    <definedName name="_REC20145">#REF!</definedName>
    <definedName name="_REC20150">#REF!</definedName>
    <definedName name="_REC20155">#REF!</definedName>
    <definedName name="_REC20175">#REF!</definedName>
    <definedName name="_REC20185">#REF!</definedName>
    <definedName name="_REC20190">#REF!</definedName>
    <definedName name="_REC20195">#REF!</definedName>
    <definedName name="_REC20210">#REF!</definedName>
    <definedName name="_Regression_Int" hidden="1">1</definedName>
    <definedName name="_RES25">#REF!</definedName>
    <definedName name="_RET1" localSheetId="3">#REF!</definedName>
    <definedName name="_RET1">[1]Regula!$J$36</definedName>
    <definedName name="_sdf123" localSheetId="4" hidden="1">#REF!</definedName>
    <definedName name="_sdf123" hidden="1">#REF!</definedName>
    <definedName name="_Sort" localSheetId="4" hidden="1">#REF!</definedName>
    <definedName name="_Sort" hidden="1">#REF!</definedName>
    <definedName name="_svi2">#REF!</definedName>
    <definedName name="_Toc181660849_1">"$'S D A I '.$#REF!$#REF!"</definedName>
    <definedName name="_Toc514484924_3" localSheetId="4">#REF!</definedName>
    <definedName name="_Toc514484924_3">#REF!</definedName>
    <definedName name="_TT102" localSheetId="3">#REF!</definedName>
    <definedName name="_TT102">'[2]Relatório-1ª med.'!#REF!</definedName>
    <definedName name="_TT107" localSheetId="3">#REF!</definedName>
    <definedName name="_TT107">'[2]Relatório-1ª med.'!#REF!</definedName>
    <definedName name="_TT121" localSheetId="3">#REF!</definedName>
    <definedName name="_TT121">'[2]Relatório-1ª med.'!#REF!</definedName>
    <definedName name="_TT123" localSheetId="3">#REF!</definedName>
    <definedName name="_TT123">'[2]Relatório-1ª med.'!#REF!</definedName>
    <definedName name="_TT19" localSheetId="3">#REF!</definedName>
    <definedName name="_TT19">'[2]Relatório-1ª med.'!#REF!</definedName>
    <definedName name="_TT20" localSheetId="3">#REF!</definedName>
    <definedName name="_TT20">'[2]Relatório-1ª med.'!#REF!</definedName>
    <definedName name="_TT21" localSheetId="3">#REF!</definedName>
    <definedName name="_TT21">'[2]Relatório-1ª med.'!#REF!</definedName>
    <definedName name="_TT22" localSheetId="3">#REF!</definedName>
    <definedName name="_TT22">'[2]Relatório-1ª med.'!#REF!</definedName>
    <definedName name="_TT26" localSheetId="3">#REF!</definedName>
    <definedName name="_TT26">'[2]Relatório-1ª med.'!#REF!</definedName>
    <definedName name="_TT27" localSheetId="3">#REF!</definedName>
    <definedName name="_TT27">'[2]Relatório-1ª med.'!#REF!</definedName>
    <definedName name="_TT28" localSheetId="3">#REF!</definedName>
    <definedName name="_TT28">'[2]Relatório-1ª med.'!#REF!</definedName>
    <definedName name="_TT30" localSheetId="3">#REF!</definedName>
    <definedName name="_TT30">'[2]Relatório-1ª med.'!#REF!</definedName>
    <definedName name="_TT31" localSheetId="3">#REF!</definedName>
    <definedName name="_TT31">'[2]Relatório-1ª med.'!#REF!</definedName>
    <definedName name="_TT32" localSheetId="3">#REF!</definedName>
    <definedName name="_TT32">'[2]Relatório-1ª med.'!#REF!</definedName>
    <definedName name="_TT33" localSheetId="3">#REF!</definedName>
    <definedName name="_TT33">'[2]Relatório-1ª med.'!#REF!</definedName>
    <definedName name="_TT34" localSheetId="3">#REF!</definedName>
    <definedName name="_TT34">'[2]Relatório-1ª med.'!#REF!</definedName>
    <definedName name="_TT36" localSheetId="3">#REF!</definedName>
    <definedName name="_TT36">'[2]Relatório-1ª med.'!#REF!</definedName>
    <definedName name="_TT37" localSheetId="3">#REF!</definedName>
    <definedName name="_TT37">'[2]Relatório-1ª med.'!#REF!</definedName>
    <definedName name="_TT38" localSheetId="3">#REF!</definedName>
    <definedName name="_TT38">'[2]Relatório-1ª med.'!#REF!</definedName>
    <definedName name="_TT39" localSheetId="3">#REF!</definedName>
    <definedName name="_TT39">'[2]Relatório-1ª med.'!#REF!</definedName>
    <definedName name="_TT40" localSheetId="3">#REF!</definedName>
    <definedName name="_TT40">'[2]Relatório-1ª med.'!#REF!</definedName>
    <definedName name="_TT5" localSheetId="3">#REF!</definedName>
    <definedName name="_TT5">'[2]Relatório-1ª med.'!#REF!</definedName>
    <definedName name="_TT52" localSheetId="3">#REF!</definedName>
    <definedName name="_TT52">'[2]Relatório-1ª med.'!#REF!</definedName>
    <definedName name="_TT53" localSheetId="3">#REF!</definedName>
    <definedName name="_TT53">'[2]Relatório-1ª med.'!#REF!</definedName>
    <definedName name="_TT54" localSheetId="3">#REF!</definedName>
    <definedName name="_TT54">'[2]Relatório-1ª med.'!#REF!</definedName>
    <definedName name="_TT55" localSheetId="3">#REF!</definedName>
    <definedName name="_TT55">'[2]Relatório-1ª med.'!#REF!</definedName>
    <definedName name="_TT6" localSheetId="3">#REF!</definedName>
    <definedName name="_TT6">'[2]Relatório-1ª med.'!#REF!</definedName>
    <definedName name="_TT60" localSheetId="3">#REF!</definedName>
    <definedName name="_TT60">'[2]Relatório-1ª med.'!#REF!</definedName>
    <definedName name="_TT61" localSheetId="3">#REF!</definedName>
    <definedName name="_TT61">'[2]Relatório-1ª med.'!#REF!</definedName>
    <definedName name="_TT69" localSheetId="3">#REF!</definedName>
    <definedName name="_TT69">'[2]Relatório-1ª med.'!#REF!</definedName>
    <definedName name="_TT7" localSheetId="3">#REF!</definedName>
    <definedName name="_TT7">'[2]Relatório-1ª med.'!#REF!</definedName>
    <definedName name="_TT70" localSheetId="3">#REF!</definedName>
    <definedName name="_TT70">'[2]Relatório-1ª med.'!#REF!</definedName>
    <definedName name="_TT71" localSheetId="3">#REF!</definedName>
    <definedName name="_TT71">'[2]Relatório-1ª med.'!#REF!</definedName>
    <definedName name="_TT74" localSheetId="3">#REF!</definedName>
    <definedName name="_TT74">'[2]Relatório-1ª med.'!#REF!</definedName>
    <definedName name="_TT75" localSheetId="3">#REF!</definedName>
    <definedName name="_TT75">'[2]Relatório-1ª med.'!#REF!</definedName>
    <definedName name="_TT76" localSheetId="3">#REF!</definedName>
    <definedName name="_TT76">'[2]Relatório-1ª med.'!#REF!</definedName>
    <definedName name="_TT77" localSheetId="3">#REF!</definedName>
    <definedName name="_TT77">'[2]Relatório-1ª med.'!#REF!</definedName>
    <definedName name="_TT78" localSheetId="3">#REF!</definedName>
    <definedName name="_TT78">'[2]Relatório-1ª med.'!#REF!</definedName>
    <definedName name="_TT79" localSheetId="3">#REF!</definedName>
    <definedName name="_TT79">'[2]Relatório-1ª med.'!#REF!</definedName>
    <definedName name="_TT94" localSheetId="3">#REF!</definedName>
    <definedName name="_TT94">'[2]Relatório-1ª med.'!#REF!</definedName>
    <definedName name="_TT95" localSheetId="3">#REF!</definedName>
    <definedName name="_TT95">'[2]Relatório-1ª med.'!#REF!</definedName>
    <definedName name="_TT97" localSheetId="3">#REF!</definedName>
    <definedName name="_TT97">'[2]Relatório-1ª med.'!#REF!</definedName>
    <definedName name="_tub075" localSheetId="4">#REF!</definedName>
    <definedName name="_tub075">#REF!</definedName>
    <definedName name="_tub1" localSheetId="4">#REF!</definedName>
    <definedName name="_tub1">#REF!</definedName>
    <definedName name="_tub10" localSheetId="4">#REF!</definedName>
    <definedName name="_tub10">#REF!</definedName>
    <definedName name="_tub12" localSheetId="4">#REF!</definedName>
    <definedName name="_tub12">#REF!</definedName>
    <definedName name="_tub14" localSheetId="4">#REF!</definedName>
    <definedName name="_tub14">#REF!</definedName>
    <definedName name="_tub2" localSheetId="4">#REF!</definedName>
    <definedName name="_tub2">#REF!</definedName>
    <definedName name="_tub3" localSheetId="4">#REF!</definedName>
    <definedName name="_tub3">#REF!</definedName>
    <definedName name="_tub4" localSheetId="4">#REF!</definedName>
    <definedName name="_tub4">#REF!</definedName>
    <definedName name="_tub6" localSheetId="4">#REF!</definedName>
    <definedName name="_tub6">#REF!</definedName>
    <definedName name="_tub8" localSheetId="4">#REF!</definedName>
    <definedName name="_tub8">#REF!</definedName>
    <definedName name="_UNI11100">#REF!</definedName>
    <definedName name="_UNI11110">#REF!</definedName>
    <definedName name="_UNI11115">#REF!</definedName>
    <definedName name="_UNI11125">#REF!</definedName>
    <definedName name="_UNI11130">#REF!</definedName>
    <definedName name="_UNI11135">#REF!</definedName>
    <definedName name="_UNI11145">#REF!</definedName>
    <definedName name="_UNI11150">#REF!</definedName>
    <definedName name="_UNI11165">#REF!</definedName>
    <definedName name="_UNI11170">#REF!</definedName>
    <definedName name="_UNI11180">#REF!</definedName>
    <definedName name="_UNI11185">#REF!</definedName>
    <definedName name="_UNI11220">#REF!</definedName>
    <definedName name="_UNI12105">#REF!</definedName>
    <definedName name="_UNI12555">#REF!</definedName>
    <definedName name="_UNI12570">#REF!</definedName>
    <definedName name="_UNI12575">#REF!</definedName>
    <definedName name="_UNI12580">#REF!</definedName>
    <definedName name="_UNI12600">#REF!</definedName>
    <definedName name="_UNI12610">#REF!</definedName>
    <definedName name="_UNI12630">#REF!</definedName>
    <definedName name="_UNI12631">#REF!</definedName>
    <definedName name="_UNI12640">#REF!</definedName>
    <definedName name="_UNI12645">#REF!</definedName>
    <definedName name="_UNI12665">#REF!</definedName>
    <definedName name="_UNI12690">#REF!</definedName>
    <definedName name="_UNI12700">#REF!</definedName>
    <definedName name="_UNI12710">#REF!</definedName>
    <definedName name="_UNI13111">#REF!</definedName>
    <definedName name="_UNI13112">#REF!</definedName>
    <definedName name="_UNI13121">#REF!</definedName>
    <definedName name="_UNI13720">#REF!</definedName>
    <definedName name="_UNI14100">#REF!</definedName>
    <definedName name="_UNI14161">#REF!</definedName>
    <definedName name="_UNI14195">#REF!</definedName>
    <definedName name="_UNI14205">#REF!</definedName>
    <definedName name="_UNI14260">#REF!</definedName>
    <definedName name="_UNI14500">#REF!</definedName>
    <definedName name="_UNI14515">#REF!</definedName>
    <definedName name="_UNI14555">#REF!</definedName>
    <definedName name="_UNI14565">#REF!</definedName>
    <definedName name="_UNI15135">#REF!</definedName>
    <definedName name="_UNI15140">#REF!</definedName>
    <definedName name="_UNI15195">#REF!</definedName>
    <definedName name="_UNI15225">#REF!</definedName>
    <definedName name="_UNI15230">#REF!</definedName>
    <definedName name="_UNI15515">#REF!</definedName>
    <definedName name="_UNI15560">#REF!</definedName>
    <definedName name="_UNI15565">#REF!</definedName>
    <definedName name="_UNI15570">#REF!</definedName>
    <definedName name="_UNI15575">#REF!</definedName>
    <definedName name="_UNI15583">#REF!</definedName>
    <definedName name="_UNI15590">#REF!</definedName>
    <definedName name="_UNI15591">#REF!</definedName>
    <definedName name="_UNI15610">#REF!</definedName>
    <definedName name="_UNI15625">#REF!</definedName>
    <definedName name="_UNI15635">#REF!</definedName>
    <definedName name="_UNI15655">#REF!</definedName>
    <definedName name="_UNI15665">#REF!</definedName>
    <definedName name="_UNI16515">#REF!</definedName>
    <definedName name="_UNI16535">#REF!</definedName>
    <definedName name="_UNI17140">#REF!</definedName>
    <definedName name="_UNI19500">#REF!</definedName>
    <definedName name="_UNI19501">#REF!</definedName>
    <definedName name="_UNI19502">#REF!</definedName>
    <definedName name="_UNI19503">#REF!</definedName>
    <definedName name="_UNI19504">#REF!</definedName>
    <definedName name="_UNI19505">#REF!</definedName>
    <definedName name="_UNI20100">#REF!</definedName>
    <definedName name="_UNI20105">#REF!</definedName>
    <definedName name="_UNI20110">#REF!</definedName>
    <definedName name="_UNI20115">#REF!</definedName>
    <definedName name="_UNI20130">#REF!</definedName>
    <definedName name="_UNI20135">#REF!</definedName>
    <definedName name="_UNI20140">#REF!</definedName>
    <definedName name="_UNI20145">#REF!</definedName>
    <definedName name="_UNI20150">#REF!</definedName>
    <definedName name="_UNI20155">#REF!</definedName>
    <definedName name="_UNI20175">#REF!</definedName>
    <definedName name="_UNI20185">#REF!</definedName>
    <definedName name="_UNI20190">#REF!</definedName>
    <definedName name="_UNI20195">#REF!</definedName>
    <definedName name="_UNI20210">#REF!</definedName>
    <definedName name="_VAL11100">#REF!</definedName>
    <definedName name="_VAL11110">#REF!</definedName>
    <definedName name="_VAL11115">#REF!</definedName>
    <definedName name="_VAL11125">#REF!</definedName>
    <definedName name="_VAL11130">#REF!</definedName>
    <definedName name="_VAL11135">#REF!</definedName>
    <definedName name="_VAL11145">#REF!</definedName>
    <definedName name="_VAL11150">#REF!</definedName>
    <definedName name="_VAL11165">#REF!</definedName>
    <definedName name="_VAL11170">#REF!</definedName>
    <definedName name="_VAL11180">#REF!</definedName>
    <definedName name="_VAL11185">#REF!</definedName>
    <definedName name="_VAL11220">#REF!</definedName>
    <definedName name="_VAL12105">#REF!</definedName>
    <definedName name="_VAL12555">#REF!</definedName>
    <definedName name="_VAL12570">#REF!</definedName>
    <definedName name="_VAL12575">#REF!</definedName>
    <definedName name="_VAL12580">#REF!</definedName>
    <definedName name="_VAL12600">#REF!</definedName>
    <definedName name="_VAL12610">#REF!</definedName>
    <definedName name="_VAL12630">#REF!</definedName>
    <definedName name="_VAL12631">#REF!</definedName>
    <definedName name="_VAL12640">#REF!</definedName>
    <definedName name="_VAL12645">#REF!</definedName>
    <definedName name="_VAL12665">#REF!</definedName>
    <definedName name="_VAL12690">#REF!</definedName>
    <definedName name="_VAL12700">#REF!</definedName>
    <definedName name="_VAL12710">#REF!</definedName>
    <definedName name="_VAL13111">#REF!</definedName>
    <definedName name="_VAL13112">#REF!</definedName>
    <definedName name="_VAL13121">#REF!</definedName>
    <definedName name="_VAL13720">#REF!</definedName>
    <definedName name="_VAL14100">#REF!</definedName>
    <definedName name="_VAL14161">#REF!</definedName>
    <definedName name="_VAL14195">#REF!</definedName>
    <definedName name="_VAL14205">#REF!</definedName>
    <definedName name="_VAL14260">#REF!</definedName>
    <definedName name="_VAL14500">#REF!</definedName>
    <definedName name="_VAL14515">#REF!</definedName>
    <definedName name="_VAL14555">#REF!</definedName>
    <definedName name="_VAL14565">#REF!</definedName>
    <definedName name="_VAL15135">#REF!</definedName>
    <definedName name="_VAL15140">#REF!</definedName>
    <definedName name="_VAL15195">#REF!</definedName>
    <definedName name="_VAL15225">#REF!</definedName>
    <definedName name="_VAL15230">#REF!</definedName>
    <definedName name="_VAL15515">#REF!</definedName>
    <definedName name="_VAL15560">#REF!</definedName>
    <definedName name="_VAL15565">#REF!</definedName>
    <definedName name="_VAL15570">#REF!</definedName>
    <definedName name="_VAL15575">#REF!</definedName>
    <definedName name="_VAL15583">#REF!</definedName>
    <definedName name="_VAL15590">#REF!</definedName>
    <definedName name="_VAL15591">#REF!</definedName>
    <definedName name="_VAL15610">#REF!</definedName>
    <definedName name="_VAL15625">#REF!</definedName>
    <definedName name="_VAL15635">#REF!</definedName>
    <definedName name="_VAL15655">#REF!</definedName>
    <definedName name="_VAL15665">#REF!</definedName>
    <definedName name="_VAL16515">#REF!</definedName>
    <definedName name="_VAL16535">#REF!</definedName>
    <definedName name="_VAL17140">#REF!</definedName>
    <definedName name="_VAL19500">#REF!</definedName>
    <definedName name="_VAL19501">#REF!</definedName>
    <definedName name="_VAL19502">#REF!</definedName>
    <definedName name="_VAL19503">#REF!</definedName>
    <definedName name="_VAL19504">#REF!</definedName>
    <definedName name="_VAL19505">#REF!</definedName>
    <definedName name="_VAL20100">#REF!</definedName>
    <definedName name="_VAL20105">#REF!</definedName>
    <definedName name="_VAL20110">#REF!</definedName>
    <definedName name="_VAL20115">#REF!</definedName>
    <definedName name="_VAL20130">#REF!</definedName>
    <definedName name="_VAL20135">#REF!</definedName>
    <definedName name="_VAL20140">#REF!</definedName>
    <definedName name="_VAL20145">#REF!</definedName>
    <definedName name="_VAL20150">#REF!</definedName>
    <definedName name="_VAL20155">#REF!</definedName>
    <definedName name="_VAL20175">#REF!</definedName>
    <definedName name="_VAL20185">#REF!</definedName>
    <definedName name="_VAL20190">#REF!</definedName>
    <definedName name="_VAL20195">#REF!</definedName>
    <definedName name="_VAL20210">#REF!</definedName>
    <definedName name="_we123" localSheetId="4" hidden="1">#REF!</definedName>
    <definedName name="_we123" hidden="1">#REF!</definedName>
    <definedName name="_wea23" localSheetId="4" hidden="1">#REF!</definedName>
    <definedName name="_wea23" hidden="1">#REF!</definedName>
    <definedName name="a" localSheetId="3">#REF!</definedName>
    <definedName name="a" localSheetId="4">{"dez","vinte","trinta","quarenta","cinquenta","sessenta","setenta","oitenta","noventa"}</definedName>
    <definedName name="a">#REF!</definedName>
    <definedName name="Á1" localSheetId="4">#REF!</definedName>
    <definedName name="Á1">#REF!</definedName>
    <definedName name="aa" localSheetId="3">#REF!</definedName>
    <definedName name="aa" localSheetId="4">#REF!</definedName>
    <definedName name="aa">#REF!</definedName>
    <definedName name="AAA" localSheetId="4">{"dez","vinte","trinta","quarenta","cinquenta","sessenta","setenta","oitenta","noventa"}</definedName>
    <definedName name="Aaa">#REF!</definedName>
    <definedName name="AAAAAA">#REF!</definedName>
    <definedName name="AAAAAAA">#REF!</definedName>
    <definedName name="AAAAAAAABBBBB">#REF!</definedName>
    <definedName name="aab" localSheetId="3" hidden="1">{#N/A,#N/A,FALSE,"EXPORTAC";#N/A,#N/A,FALSE,"SUPEL94"}</definedName>
    <definedName name="aab" hidden="1">{#N/A,#N/A,FALSE,"EXPORTAC";#N/A,#N/A,FALSE,"SUPEL94"}</definedName>
    <definedName name="AABABBAA">#REF!</definedName>
    <definedName name="AABABBBABABAB">#REF!</definedName>
    <definedName name="aacccc" hidden="1">#REF!</definedName>
    <definedName name="aasaasas" localSheetId="3" hidden="1">{#N/A,#N/A,TRUE,"indice";#N/A,#N/A,TRUE,"indicadores";#N/A,#N/A,TRUE,"comentarios"}</definedName>
    <definedName name="aasaasas" hidden="1">{#N/A,#N/A,TRUE,"indice";#N/A,#N/A,TRUE,"indicadores";#N/A,#N/A,TRUE,"comentarios"}</definedName>
    <definedName name="ABAABBABABBB">#REF!</definedName>
    <definedName name="ABABABABAB">#REF!</definedName>
    <definedName name="ABABABABBAB">#REF!</definedName>
    <definedName name="ABABABBAB">#REF!</definedName>
    <definedName name="ABABBAAB">#REF!</definedName>
    <definedName name="ABABBABABAB">#REF!</definedName>
    <definedName name="ABABBBABBA">#REF!</definedName>
    <definedName name="ABB">#REF!</definedName>
    <definedName name="ABBAABBABAB">#REF!</definedName>
    <definedName name="ABBABABABB">#REF!</definedName>
    <definedName name="ABBB">#REF!</definedName>
    <definedName name="ABBBAABABBBB">#REF!</definedName>
    <definedName name="ABBBBB">#REF!</definedName>
    <definedName name="ABBBBBBBBBBBBB">#REF!</definedName>
    <definedName name="ABBBBBBBBBBBBBB">#REF!</definedName>
    <definedName name="abc" localSheetId="4">#REF!</definedName>
    <definedName name="abc">#REF!</definedName>
    <definedName name="Abreviações">#REF!</definedName>
    <definedName name="AccessDatabase" hidden="1">"C:\Meus documentos\Paulo Cezar\ACOMPANHAMENTO.mdb"</definedName>
    <definedName name="Acumulado" localSheetId="4">#REF!</definedName>
    <definedName name="Acumulado">#REF!</definedName>
    <definedName name="ADB" localSheetId="4">#REF!</definedName>
    <definedName name="ADB">#REF!</definedName>
    <definedName name="Adc" localSheetId="4">#REF!</definedName>
    <definedName name="Adc">#REF!</definedName>
    <definedName name="Adc_23" localSheetId="4">#REF!</definedName>
    <definedName name="Adc_23">#REF!</definedName>
    <definedName name="Adc_24" localSheetId="4">#REF!</definedName>
    <definedName name="Adc_24">#REF!</definedName>
    <definedName name="Adc_25" localSheetId="4">#REF!</definedName>
    <definedName name="Adc_25">#REF!</definedName>
    <definedName name="Adc_26" localSheetId="4">#REF!</definedName>
    <definedName name="Adc_26">#REF!</definedName>
    <definedName name="ADCA" localSheetId="4">#REF!</definedName>
    <definedName name="ADCA">#REF!</definedName>
    <definedName name="ADCD" localSheetId="4">#REF!</definedName>
    <definedName name="ADCD">#REF!</definedName>
    <definedName name="ADCM" localSheetId="4">#REF!</definedName>
    <definedName name="ADCM">#REF!</definedName>
    <definedName name="ADCT" localSheetId="4">#REF!</definedName>
    <definedName name="ADCT">#REF!</definedName>
    <definedName name="ADCV" localSheetId="4">#REF!</definedName>
    <definedName name="ADCV">#REF!</definedName>
    <definedName name="Address">#REF!</definedName>
    <definedName name="ADE" localSheetId="4">#REF!</definedName>
    <definedName name="ADE">#REF!</definedName>
    <definedName name="ademir" localSheetId="4" hidden="1">{#N/A,#N/A,FALSE,"Cronograma";#N/A,#N/A,FALSE,"Cronogr. 2"}</definedName>
    <definedName name="ademir" hidden="1">{#N/A,#N/A,FALSE,"Cronograma";#N/A,#N/A,FALSE,"Cronogr. 2"}</definedName>
    <definedName name="ADF" localSheetId="4">#REF!</definedName>
    <definedName name="ADF">#REF!</definedName>
    <definedName name="ADJP" localSheetId="4">#REF!</definedName>
    <definedName name="ADJP">#REF!</definedName>
    <definedName name="ADLE" localSheetId="4">#REF!</definedName>
    <definedName name="ADLE">#REF!</definedName>
    <definedName name="ADM" localSheetId="4">#REF!</definedName>
    <definedName name="ADM">#REF!</definedName>
    <definedName name="ADN" localSheetId="4">#REF!</definedName>
    <definedName name="ADN">#REF!</definedName>
    <definedName name="ADP" localSheetId="4">#REF!</definedName>
    <definedName name="ADP">#REF!</definedName>
    <definedName name="ADQ" localSheetId="4">#REF!</definedName>
    <definedName name="ADQ">#REF!</definedName>
    <definedName name="ADRP" localSheetId="4">#REF!</definedName>
    <definedName name="ADRP">#REF!</definedName>
    <definedName name="ADS" localSheetId="4">#REF!</definedName>
    <definedName name="ADS">#REF!</definedName>
    <definedName name="ADTACF" localSheetId="4">#REF!</definedName>
    <definedName name="ADTACF">#REF!</definedName>
    <definedName name="ADTACI" localSheetId="4">#REF!</definedName>
    <definedName name="ADTACI">#REF!</definedName>
    <definedName name="ADTACR" localSheetId="4">#REF!</definedName>
    <definedName name="ADTACR">#REF!</definedName>
    <definedName name="ADTACS" localSheetId="4">#REF!</definedName>
    <definedName name="ADTACS">#REF!</definedName>
    <definedName name="ADTI" localSheetId="4">#REF!</definedName>
    <definedName name="ADTI">#REF!</definedName>
    <definedName name="ADTPEADS" localSheetId="4">#REF!</definedName>
    <definedName name="ADTPEADS">#REF!</definedName>
    <definedName name="ADTPVCR" localSheetId="4">#REF!</definedName>
    <definedName name="ADTPVCR">#REF!</definedName>
    <definedName name="ADTPVCS" localSheetId="4">#REF!</definedName>
    <definedName name="ADTPVCS">#REF!</definedName>
    <definedName name="ADTRA" localSheetId="4">#REF!</definedName>
    <definedName name="ADTRA">#REF!</definedName>
    <definedName name="AF" localSheetId="4" hidden="1">{#N/A,#N/A,FALSE,"GERAL";#N/A,#N/A,FALSE,"012-96";#N/A,#N/A,FALSE,"018-96";#N/A,#N/A,FALSE,"027-96";#N/A,#N/A,FALSE,"059-96";#N/A,#N/A,FALSE,"076-96";#N/A,#N/A,FALSE,"019-97";#N/A,#N/A,FALSE,"021-97";#N/A,#N/A,FALSE,"022-97";#N/A,#N/A,FALSE,"028-97"}</definedName>
    <definedName name="AF" hidden="1">{#N/A,#N/A,FALSE,"GERAL";#N/A,#N/A,FALSE,"012-96";#N/A,#N/A,FALSE,"018-96";#N/A,#N/A,FALSE,"027-96";#N/A,#N/A,FALSE,"059-96";#N/A,#N/A,FALSE,"076-96";#N/A,#N/A,FALSE,"019-97";#N/A,#N/A,FALSE,"021-97";#N/A,#N/A,FALSE,"022-97";#N/A,#N/A,FALSE,"028-97"}</definedName>
    <definedName name="AGRUPAMENTOS">#REF!</definedName>
    <definedName name="AJUDA">#REF!</definedName>
    <definedName name="AJUSTARANGE" localSheetId="4">#REF!</definedName>
    <definedName name="AJUSTARANGE">#REF!</definedName>
    <definedName name="ALIMUNIT" localSheetId="4">#REF!</definedName>
    <definedName name="ALIMUNIT">#REF!</definedName>
    <definedName name="ALIQ_COFINS">0.076</definedName>
    <definedName name="ALIQ_PIS">0.0165</definedName>
    <definedName name="ALL">#REF!</definedName>
    <definedName name="ALMOCO">#N/A</definedName>
    <definedName name="ALMOCOMES">#N/A</definedName>
    <definedName name="ALTABSAL">#N/A</definedName>
    <definedName name="ALTERSAL">#N/A</definedName>
    <definedName name="ALUGCOMBFRETE" localSheetId="4">#REF!</definedName>
    <definedName name="ALUGCOMBFRETE">#REF!</definedName>
    <definedName name="Annex6_2NotPiping">#REF!</definedName>
    <definedName name="AnoInicio" localSheetId="4">#REF!</definedName>
    <definedName name="AnoInicio">#REF!</definedName>
    <definedName name="anscount" hidden="1">1</definedName>
    <definedName name="ANTIGA">#REF!</definedName>
    <definedName name="APAGTAB">#N/A</definedName>
    <definedName name="APOIOUNIT" localSheetId="4">#REF!</definedName>
    <definedName name="APOIOUNIT">#REF!</definedName>
    <definedName name="Apr.0">#REF!</definedName>
    <definedName name="Apr.1">#REF!</definedName>
    <definedName name="Apr.2">#REF!</definedName>
    <definedName name="Apr.3">#REF!</definedName>
    <definedName name="Apr.4">#REF!</definedName>
    <definedName name="Apr.5">#REF!</definedName>
    <definedName name="Apr.6">#REF!</definedName>
    <definedName name="Apr.7">#REF!</definedName>
    <definedName name="Apr.8">#REF!</definedName>
    <definedName name="ar" localSheetId="4">#REF!</definedName>
    <definedName name="ar">#REF!</definedName>
    <definedName name="area_base" localSheetId="3">#REF!</definedName>
    <definedName name="area_base">[1]Base!$U$40</definedName>
    <definedName name="_xlnm.Extract" localSheetId="4">#REF!</definedName>
    <definedName name="_xlnm.Extract">#REF!</definedName>
    <definedName name="_xlnm.Print_Area" localSheetId="3">#REF!</definedName>
    <definedName name="_xlnm.Print_Area" localSheetId="4">#REF!</definedName>
    <definedName name="_xlnm.Print_Area">#REF!</definedName>
    <definedName name="area_impressÃO" localSheetId="4">#REF!</definedName>
    <definedName name="area_impressÃO">#REF!</definedName>
    <definedName name="Área_impressão_IM" localSheetId="4">#REF!</definedName>
    <definedName name="Área_impressão_IM">#REF!</definedName>
    <definedName name="areacontainer">#REF!</definedName>
    <definedName name="arenoso" localSheetId="4">#REF!</definedName>
    <definedName name="arenoso">#REF!</definedName>
    <definedName name="arredondamento" localSheetId="4">#REF!</definedName>
    <definedName name="arredondamento">#REF!</definedName>
    <definedName name="asaasaas" localSheetId="3" hidden="1">{#N/A,#N/A,TRUE,"indice";#N/A,#N/A,TRUE,"indicadores";#N/A,#N/A,TRUE,"comentarios"}</definedName>
    <definedName name="asaasaas" hidden="1">{#N/A,#N/A,TRUE,"indice";#N/A,#N/A,TRUE,"indicadores";#N/A,#N/A,TRUE,"comentarios"}</definedName>
    <definedName name="asaasas"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asa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216qw2e1" localSheetId="4" hidden="1">#REF!</definedName>
    <definedName name="asd216qw2e1" hidden="1">#REF!</definedName>
    <definedName name="ASDF" localSheetId="4" hidden="1">{#N/A,#N/A,FALSE,"GERAL";#N/A,#N/A,FALSE,"012-96";#N/A,#N/A,FALSE,"018-96";#N/A,#N/A,FALSE,"027-96";#N/A,#N/A,FALSE,"059-96";#N/A,#N/A,FALSE,"076-96";#N/A,#N/A,FALSE,"019-97";#N/A,#N/A,FALSE,"021-97";#N/A,#N/A,FALSE,"022-97";#N/A,#N/A,FALSE,"028-97"}</definedName>
    <definedName name="ASDF" hidden="1">{#N/A,#N/A,FALSE,"GERAL";#N/A,#N/A,FALSE,"012-96";#N/A,#N/A,FALSE,"018-96";#N/A,#N/A,FALSE,"027-96";#N/A,#N/A,FALSE,"059-96";#N/A,#N/A,FALSE,"076-96";#N/A,#N/A,FALSE,"019-97";#N/A,#N/A,FALSE,"021-97";#N/A,#N/A,FALSE,"022-97";#N/A,#N/A,FALSE,"028-97"}</definedName>
    <definedName name="asdff" localSheetId="4">#REF!</definedName>
    <definedName name="asdff">#REF!</definedName>
    <definedName name="asdryhsdfh"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ryhsdf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w" localSheetId="4" hidden="1">#REF!</definedName>
    <definedName name="asdw" hidden="1">#REF!</definedName>
    <definedName name="asf" localSheetId="4">#REF!</definedName>
    <definedName name="asf">#REF!</definedName>
    <definedName name="asfalto" localSheetId="4">#REF!</definedName>
    <definedName name="asfalto">#REF!</definedName>
    <definedName name="ASP" localSheetId="4">#REF!</definedName>
    <definedName name="ASP">#REF!</definedName>
    <definedName name="asrgadg"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rgad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traso" localSheetId="4">#REF!</definedName>
    <definedName name="Atraso">#REF!</definedName>
    <definedName name="aux">#REF!</definedName>
    <definedName name="auxiliar">#REF!</definedName>
    <definedName name="Average_Hours_Month">#REF!</definedName>
    <definedName name="AWd1q56" localSheetId="4" hidden="1">#REF!</definedName>
    <definedName name="AWd1q56" hidden="1">#REF!</definedName>
    <definedName name="awdasda"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wdasd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B" localSheetId="4">#REF!</definedName>
    <definedName name="b">#REF!</definedName>
    <definedName name="BAAABABAB">#REF!</definedName>
    <definedName name="BAABABABBAAB">#REF!</definedName>
    <definedName name="BAABBAABBABB">#REF!</definedName>
    <definedName name="BABAABABABBB">#REF!</definedName>
    <definedName name="BABAABABB">#REF!</definedName>
    <definedName name="BABAABBB">#REF!</definedName>
    <definedName name="BABABABAB">#REF!</definedName>
    <definedName name="BABABABABAAB">#REF!</definedName>
    <definedName name="BABABABABAB">#REF!</definedName>
    <definedName name="BABABABABABA">#REF!</definedName>
    <definedName name="BABABABBABB">#REF!</definedName>
    <definedName name="BABABABBB">#REF!</definedName>
    <definedName name="BABABBBB">#REF!</definedName>
    <definedName name="BABBABABA">#REF!</definedName>
    <definedName name="BABBABABAAB">#REF!</definedName>
    <definedName name="BANCO">#REF!</definedName>
    <definedName name="_xlnm.Database">#REF!</definedName>
    <definedName name="BANCO1" localSheetId="4">#REF!</definedName>
    <definedName name="BANCO1">#REF!</definedName>
    <definedName name="BANCO2">#REF!</definedName>
    <definedName name="bar" localSheetId="4" hidden="1">{#N/A,#N/A,FALSE,"GERAL";#N/A,#N/A,FALSE,"012-96";#N/A,#N/A,FALSE,"018-96";#N/A,#N/A,FALSE,"027-96";#N/A,#N/A,FALSE,"059-96";#N/A,#N/A,FALSE,"076-96";#N/A,#N/A,FALSE,"019-97";#N/A,#N/A,FALSE,"021-97";#N/A,#N/A,FALSE,"022-97";#N/A,#N/A,FALSE,"028-97"}</definedName>
    <definedName name="bar" hidden="1">{#N/A,#N/A,FALSE,"GERAL";#N/A,#N/A,FALSE,"012-96";#N/A,#N/A,FALSE,"018-96";#N/A,#N/A,FALSE,"027-96";#N/A,#N/A,FALSE,"059-96";#N/A,#N/A,FALSE,"076-96";#N/A,#N/A,FALSE,"019-97";#N/A,#N/A,FALSE,"021-97";#N/A,#N/A,FALSE,"022-97";#N/A,#N/A,FALSE,"028-97"}</definedName>
    <definedName name="BARRACHEIA">#N/A</definedName>
    <definedName name="BARRAS">#N/A</definedName>
    <definedName name="BARRAUM">#N/A</definedName>
    <definedName name="BARUERI">#REF!</definedName>
    <definedName name="BBAABABABBA">#REF!</definedName>
    <definedName name="BBAABBAABAB">#REF!</definedName>
    <definedName name="BBAABBAABB">#REF!</definedName>
    <definedName name="BBAABBBABA">#REF!</definedName>
    <definedName name="BBABAABABAB">#REF!</definedName>
    <definedName name="BBABABBBBA">#REF!</definedName>
    <definedName name="Bbn" localSheetId="3" hidden="1">{"'IndicadoresRH'!$AA$50:$AP$67"}</definedName>
    <definedName name="Bbn" hidden="1">{"'IndicadoresRH'!$AA$50:$AP$67"}</definedName>
    <definedName name="bdi" localSheetId="3">#REF!</definedName>
    <definedName name="BDI" localSheetId="4">#REF!</definedName>
    <definedName name="bdi">'[3]Composição item 4'!#REF!</definedName>
    <definedName name="BDI.">#REF!</definedName>
    <definedName name="bdi_sub" localSheetId="4">#REF!</definedName>
    <definedName name="bdi_sub">#REF!</definedName>
    <definedName name="bdi_sub2" localSheetId="4">#REF!</definedName>
    <definedName name="bdi_sub2">#REF!</definedName>
    <definedName name="BDICOMP" localSheetId="4">#REF!</definedName>
    <definedName name="BDICOMP">#REF!</definedName>
    <definedName name="BDIFIXO" localSheetId="4">#REF!</definedName>
    <definedName name="BDIFIXO">#REF!</definedName>
    <definedName name="BDIUNIT" localSheetId="4">#REF!</definedName>
    <definedName name="BDIUNIT">#REF!</definedName>
    <definedName name="BLOCO">#REF!</definedName>
    <definedName name="Bomba_putzmeister">#REF!</definedName>
    <definedName name="bosta" localSheetId="4" hidden="1">{#N/A,#N/A,FALSE,"Cronograma";#N/A,#N/A,FALSE,"Cronogr. 2"}</definedName>
    <definedName name="bosta" hidden="1">{#N/A,#N/A,FALSE,"Cronograma";#N/A,#N/A,FALSE,"Cronogr. 2"}</definedName>
    <definedName name="BOTOEIRA">#REF!</definedName>
    <definedName name="BQ_TABLE1" localSheetId="4">#REF!</definedName>
    <definedName name="BQ_TABLE1">#REF!</definedName>
    <definedName name="BRANCO">#N/A</definedName>
    <definedName name="BRANCO1">#N/A</definedName>
    <definedName name="brfdbe" localSheetId="4">#REF!</definedName>
    <definedName name="brfdbe">#REF!</definedName>
    <definedName name="BRITAGEM" localSheetId="4" hidden="1">{#N/A,#N/A,FALSE,"GERAL";#N/A,#N/A,FALSE,"012-96";#N/A,#N/A,FALSE,"018-96";#N/A,#N/A,FALSE,"027-96";#N/A,#N/A,FALSE,"059-96";#N/A,#N/A,FALSE,"076-96";#N/A,#N/A,FALSE,"019-97";#N/A,#N/A,FALSE,"021-97";#N/A,#N/A,FALSE,"022-97";#N/A,#N/A,FALSE,"028-97"}</definedName>
    <definedName name="BRITAGEM" hidden="1">{#N/A,#N/A,FALSE,"GERAL";#N/A,#N/A,FALSE,"012-96";#N/A,#N/A,FALSE,"018-96";#N/A,#N/A,FALSE,"027-96";#N/A,#N/A,FALSE,"059-96";#N/A,#N/A,FALSE,"076-96";#N/A,#N/A,FALSE,"019-97";#N/A,#N/A,FALSE,"021-97";#N/A,#N/A,FALSE,"022-97";#N/A,#N/A,FALSE,"028-97"}</definedName>
    <definedName name="BuiltIn_AutoFilter___1" localSheetId="4">#REF!</definedName>
    <definedName name="BuiltIn_AutoFilter___1">#REF!</definedName>
    <definedName name="BUSCTAB">#N/A</definedName>
    <definedName name="C_" localSheetId="4">#REF!</definedName>
    <definedName name="C_">#REF!</definedName>
    <definedName name="CA´L" localSheetId="4" hidden="1">{#N/A,#N/A,FALSE,"Cronograma";#N/A,#N/A,FALSE,"Cronogr. 2"}</definedName>
    <definedName name="CA´L" hidden="1">{#N/A,#N/A,FALSE,"Cronograma";#N/A,#N/A,FALSE,"Cronogr. 2"}</definedName>
    <definedName name="CA01_" localSheetId="4">#REF!</definedName>
    <definedName name="CA01_">#REF!</definedName>
    <definedName name="CAB">#REF!</definedName>
    <definedName name="cab_cortes">#REF!</definedName>
    <definedName name="cab_dmt">#REF!</definedName>
    <definedName name="cab_limpeza">#REF!</definedName>
    <definedName name="cabe">#REF!</definedName>
    <definedName name="cabeca">#REF!</definedName>
    <definedName name="cabmeio">#REF!</definedName>
    <definedName name="CABO" localSheetId="4">#REF!</definedName>
    <definedName name="CABO">#REF!</definedName>
    <definedName name="CADASTRO" localSheetId="4">#REF!</definedName>
    <definedName name="CADASTRO">#REF!</definedName>
    <definedName name="CAFFE">#REF!</definedName>
    <definedName name="CAIX" localSheetId="4">#REF!</definedName>
    <definedName name="CAIX">#REF!</definedName>
    <definedName name="CALCEQUIP">#N/A</definedName>
    <definedName name="CALCULA" localSheetId="4">#REF!</definedName>
    <definedName name="CALCULA">#REF!</definedName>
    <definedName name="CALCULACP" localSheetId="4">#REF!</definedName>
    <definedName name="CALCULACP">#REF!</definedName>
    <definedName name="Caldereria" localSheetId="4">#REF!</definedName>
    <definedName name="Caldereria">#REF!</definedName>
    <definedName name="CAMINHÃO" localSheetId="2">#REF!</definedName>
    <definedName name="CAMINHÃO" localSheetId="3">#REF!</definedName>
    <definedName name="CAMINHÃO" localSheetId="0">#REF!</definedName>
    <definedName name="CAMINHÃO">#REF!</definedName>
    <definedName name="CAMPOS_EDICAO" localSheetId="3">#REF!,#REF!,#REF!</definedName>
    <definedName name="CAMPOS_EDICAO">'[4]Conferência de Dados'!$D$10:$D$106,'[4]Conferência de Dados'!$D$111:$D$114,'[4]Conferência de Dados'!$D$117:$D$120</definedName>
    <definedName name="CANTEIRO" localSheetId="4">#REF!</definedName>
    <definedName name="CANTEIRO">#REF!</definedName>
    <definedName name="capamc2">#REF!</definedName>
    <definedName name="capamc3">#REF!</definedName>
    <definedName name="CAPAMC4">#REF!</definedName>
    <definedName name="CAPAMC5TG">#REF!</definedName>
    <definedName name="capanom">#REF!</definedName>
    <definedName name="capatc2">#REF!</definedName>
    <definedName name="capatc3">#REF!</definedName>
    <definedName name="CAPATC4">#REF!</definedName>
    <definedName name="capatg2">#REF!</definedName>
    <definedName name="CAPATG3">#REF!</definedName>
    <definedName name="capatg4">#REF!</definedName>
    <definedName name="CAUX" localSheetId="4">#REF!</definedName>
    <definedName name="CAUX">#REF!</definedName>
    <definedName name="CBWorkbookPriority" hidden="1">-1472677014</definedName>
    <definedName name="cc">#REF!</definedName>
    <definedName name="çç" localSheetId="4">#REF!</definedName>
    <definedName name="çç">#REF!</definedName>
    <definedName name="ccccccccc"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cccccccc"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DT" localSheetId="4">#REF!</definedName>
    <definedName name="CDT">#REF!</definedName>
    <definedName name="cef" localSheetId="4" hidden="1">{#N/A,#N/A,FALSE,"Cronograma";#N/A,#N/A,FALSE,"Cronogr. 2"}</definedName>
    <definedName name="cef" hidden="1">{#N/A,#N/A,FALSE,"Cronograma";#N/A,#N/A,FALSE,"Cronogr. 2"}</definedName>
    <definedName name="Celular_Responsavel" localSheetId="4">#REF!</definedName>
    <definedName name="Celular_Responsavel">#REF!</definedName>
    <definedName name="cff" localSheetId="4" hidden="1">{#N/A,#N/A,FALSE,"Cronograma";#N/A,#N/A,FALSE,"Cronogr. 2"}</definedName>
    <definedName name="cff" hidden="1">{#N/A,#N/A,FALSE,"Cronograma";#N/A,#N/A,FALSE,"Cronogr. 2"}</definedName>
    <definedName name="Chave_Responsavel" localSheetId="4">#REF!</definedName>
    <definedName name="Chave_Responsavel">#REF!</definedName>
    <definedName name="CHEKGER">#N/A</definedName>
    <definedName name="CHEKGER1">#N/A</definedName>
    <definedName name="CHEKGER2">#N/A</definedName>
    <definedName name="circular" localSheetId="4">#REF!</definedName>
    <definedName name="circular">#REF!</definedName>
    <definedName name="City">#REF!</definedName>
    <definedName name="CIV" localSheetId="4">#REF!</definedName>
    <definedName name="CIV">#REF!</definedName>
    <definedName name="civil" localSheetId="4">#REF!</definedName>
    <definedName name="civil">#REF!</definedName>
    <definedName name="class">#REF!</definedName>
    <definedName name="classe_HH" localSheetId="4">#REF!</definedName>
    <definedName name="classe_HH">#REF!</definedName>
    <definedName name="ClearData">#REF!</definedName>
    <definedName name="CLIENTE">#REF!</definedName>
    <definedName name="CLIENTES" localSheetId="3">#REF!</definedName>
    <definedName name="CLIENTES">#REF!</definedName>
    <definedName name="CM" localSheetId="4">#REF!</definedName>
    <definedName name="CM">#REF!</definedName>
    <definedName name="CO">#REF!</definedName>
    <definedName name="COA">#REF!</definedName>
    <definedName name="COB">#REF!</definedName>
    <definedName name="COC">#REF!</definedName>
    <definedName name="COD" localSheetId="4">#N/A</definedName>
    <definedName name="COD">#REF!</definedName>
    <definedName name="Code" hidden="1">#REF!</definedName>
    <definedName name="CODENOME">#N/A</definedName>
    <definedName name="CODENOME1" hidden="1">#N/A</definedName>
    <definedName name="CODIB" localSheetId="4">#REF!</definedName>
    <definedName name="CODIB">#REF!</definedName>
    <definedName name="CODIC" localSheetId="4">#REF!</definedName>
    <definedName name="CODIC">#REF!</definedName>
    <definedName name="CODICA" localSheetId="4">#REF!</definedName>
    <definedName name="CODICA">#REF!</definedName>
    <definedName name="CODICD">#REF!</definedName>
    <definedName name="CODICM">#REF!</definedName>
    <definedName name="CODICT">#REF!</definedName>
    <definedName name="CODICV">#REF!</definedName>
    <definedName name="CODIE">#REF!</definedName>
    <definedName name="CODIF">#REF!</definedName>
    <definedName name="CODIGO" localSheetId="4">"$#REF!.$Q$41"</definedName>
    <definedName name="CODIGO">#REF!</definedName>
    <definedName name="Código">#REF!</definedName>
    <definedName name="Código.">#REF!</definedName>
    <definedName name="CODIGOS" localSheetId="4">#REF!</definedName>
    <definedName name="CODIGOS">#REF!</definedName>
    <definedName name="CODIGOSEC" localSheetId="4">#REF!</definedName>
    <definedName name="CODIGOSEC">#REF!</definedName>
    <definedName name="CODIGOSERV" localSheetId="4">#REF!</definedName>
    <definedName name="CODIGOSERV">#REF!</definedName>
    <definedName name="CODILE">#REF!</definedName>
    <definedName name="CODIM">#REF!</definedName>
    <definedName name="CODIN">#REF!</definedName>
    <definedName name="CODIQ">#REF!</definedName>
    <definedName name="CODIS">#REF!</definedName>
    <definedName name="CODISJP">#REF!</definedName>
    <definedName name="CODISP">#REF!</definedName>
    <definedName name="CODISRP">#REF!</definedName>
    <definedName name="CODITACF">#REF!</definedName>
    <definedName name="CODITACI">#REF!</definedName>
    <definedName name="CODITACR">#REF!</definedName>
    <definedName name="CODITACS">#REF!</definedName>
    <definedName name="CODITI">#REF!</definedName>
    <definedName name="CODITPEADS">#REF!</definedName>
    <definedName name="CODITPVCR">#REF!</definedName>
    <definedName name="CODITPVCS">#REF!</definedName>
    <definedName name="CODITRA">#REF!</definedName>
    <definedName name="CODSECK" localSheetId="4">#REF!</definedName>
    <definedName name="CODSECK">#REF!</definedName>
    <definedName name="CODSECLB" localSheetId="4">#REF!</definedName>
    <definedName name="CODSECLB">#REF!</definedName>
    <definedName name="CODSERVK" localSheetId="4">#REF!</definedName>
    <definedName name="CODSERVK">#REF!</definedName>
    <definedName name="CODSERVLB" localSheetId="4">#REF!</definedName>
    <definedName name="CODSERVLB">#REF!</definedName>
    <definedName name="coi" localSheetId="4">#REF!</definedName>
    <definedName name="coi">#REF!</definedName>
    <definedName name="Colaboradores">#REF!</definedName>
    <definedName name="COLAUX" localSheetId="4">#REF!</definedName>
    <definedName name="COLAUX">#REF!</definedName>
    <definedName name="COLCOD" localSheetId="4">#REF!</definedName>
    <definedName name="COLCOD">#REF!</definedName>
    <definedName name="COLCOEF" localSheetId="4">#REF!</definedName>
    <definedName name="COLCOEF">#REF!</definedName>
    <definedName name="COLDESC" localSheetId="4">#REF!</definedName>
    <definedName name="COLDESC">#REF!</definedName>
    <definedName name="COLDESCMOD" localSheetId="4">#REF!</definedName>
    <definedName name="COLDESCMOD">#REF!</definedName>
    <definedName name="COLDIF" localSheetId="4">#REF!</definedName>
    <definedName name="COLDIF">#REF!</definedName>
    <definedName name="COLDIFHH" localSheetId="4">#REF!</definedName>
    <definedName name="COLDIFHH">#REF!</definedName>
    <definedName name="COLDIFHHMACRO" localSheetId="4">#REF!</definedName>
    <definedName name="COLDIFHHMACRO">#REF!</definedName>
    <definedName name="COLDIFMACRO" localSheetId="4">#REF!</definedName>
    <definedName name="COLDIFMACRO">#REF!</definedName>
    <definedName name="COLEQUIP" localSheetId="4">#REF!</definedName>
    <definedName name="COLEQUIP">#REF!</definedName>
    <definedName name="COLEQUIP1" localSheetId="4">#REF!</definedName>
    <definedName name="COLEQUIP1">#REF!</definedName>
    <definedName name="COLHHCAL" localSheetId="4">#REF!</definedName>
    <definedName name="COLHHCAL">#REF!</definedName>
    <definedName name="colhhfun" localSheetId="4">#REF!</definedName>
    <definedName name="colhhfun">#REF!</definedName>
    <definedName name="COLHHPROV" localSheetId="4">#REF!</definedName>
    <definedName name="COLHHPROV">#REF!</definedName>
    <definedName name="COLHHSECCAL" localSheetId="4">#REF!</definedName>
    <definedName name="COLHHSECCAL">#REF!</definedName>
    <definedName name="COLI" localSheetId="4">#REF!:INDIRECT(#REF!)</definedName>
    <definedName name="COLI">#REF!:INDIRECT(#REF!)</definedName>
    <definedName name="COLIND" localSheetId="4">#REF!</definedName>
    <definedName name="COLIND">#REF!</definedName>
    <definedName name="COLINDPROV" localSheetId="4">#REF!</definedName>
    <definedName name="COLINDPROV">#REF!</definedName>
    <definedName name="COLINSUMOS" localSheetId="4">#REF!</definedName>
    <definedName name="COLINSUMOS">#REF!</definedName>
    <definedName name="COLMAT" localSheetId="4">#REF!</definedName>
    <definedName name="COLMAT">#REF!</definedName>
    <definedName name="COLMAT1" localSheetId="4">#REF!</definedName>
    <definedName name="COLMAT1">#REF!</definedName>
    <definedName name="COLMAT10" localSheetId="4">#REF!</definedName>
    <definedName name="COLMAT10">#REF!</definedName>
    <definedName name="COLMAT2" localSheetId="4">#REF!</definedName>
    <definedName name="COLMAT2">#REF!</definedName>
    <definedName name="COLMAT3" localSheetId="4">#REF!</definedName>
    <definedName name="COLMAT3">#REF!</definedName>
    <definedName name="COLMAT4" localSheetId="4">#REF!</definedName>
    <definedName name="COLMAT4">#REF!</definedName>
    <definedName name="COLMAT5" localSheetId="4">#REF!</definedName>
    <definedName name="COLMAT5">#REF!</definedName>
    <definedName name="COLMAT6" localSheetId="4">#REF!</definedName>
    <definedName name="COLMAT6">#REF!</definedName>
    <definedName name="COLMAT7" localSheetId="4">#REF!</definedName>
    <definedName name="COLMAT7">#REF!</definedName>
    <definedName name="COLMAT8" localSheetId="4">#REF!</definedName>
    <definedName name="COLMAT8">#REF!</definedName>
    <definedName name="COLMAT9" localSheetId="4">#REF!</definedName>
    <definedName name="COLMAT9">#REF!</definedName>
    <definedName name="COLPRECOS" localSheetId="4">#REF!</definedName>
    <definedName name="COLPRECOS">#REF!</definedName>
    <definedName name="COLPRECOUNIT" localSheetId="4">#REF!</definedName>
    <definedName name="COLPRECOUNIT">#REF!</definedName>
    <definedName name="COLPT" localSheetId="4">#REF!</definedName>
    <definedName name="COLPT">#REF!</definedName>
    <definedName name="COLPU" localSheetId="4">#REF!</definedName>
    <definedName name="COLPU">#REF!</definedName>
    <definedName name="COLQUANT" localSheetId="4">#REF!</definedName>
    <definedName name="COLQUANT">#REF!</definedName>
    <definedName name="COLUNASAUX" localSheetId="4">#REF!</definedName>
    <definedName name="COLUNASAUX">#REF!</definedName>
    <definedName name="COLUNID" localSheetId="4">#REF!</definedName>
    <definedName name="COLUNID">#REF!</definedName>
    <definedName name="COMECO">#N/A</definedName>
    <definedName name="COMEÇO" localSheetId="4">#REF!</definedName>
    <definedName name="COMEÇO">#REF!</definedName>
    <definedName name="COMP" localSheetId="4">#REF!</definedName>
    <definedName name="COMP">#REF!</definedName>
    <definedName name="Comp." localSheetId="4">#REF!</definedName>
    <definedName name="Comp.">#REF!</definedName>
    <definedName name="comp1" localSheetId="4">#REF!</definedName>
    <definedName name="comp1">#REF!</definedName>
    <definedName name="Company">#REF!</definedName>
    <definedName name="COMPAUX" localSheetId="4">#REF!</definedName>
    <definedName name="COMPAUX">#REF!</definedName>
    <definedName name="COMPLETO" localSheetId="4">#REF!</definedName>
    <definedName name="COMPLETO">#REF!</definedName>
    <definedName name="COMPO_VERTICAIS_CA" localSheetId="4">#REF!</definedName>
    <definedName name="COMPO_VERTICAIS_CA">#REF!</definedName>
    <definedName name="composição" localSheetId="4" hidden="1">{#N/A,#N/A,FALSE,"GERAL";#N/A,#N/A,FALSE,"012-96";#N/A,#N/A,FALSE,"018-96";#N/A,#N/A,FALSE,"027-96";#N/A,#N/A,FALSE,"059-96";#N/A,#N/A,FALSE,"076-96";#N/A,#N/A,FALSE,"019-97";#N/A,#N/A,FALSE,"021-97";#N/A,#N/A,FALSE,"022-97";#N/A,#N/A,FALSE,"028-97"}</definedName>
    <definedName name="composição" hidden="1">{#N/A,#N/A,FALSE,"GERAL";#N/A,#N/A,FALSE,"012-96";#N/A,#N/A,FALSE,"018-96";#N/A,#N/A,FALSE,"027-96";#N/A,#N/A,FALSE,"059-96";#N/A,#N/A,FALSE,"076-96";#N/A,#N/A,FALSE,"019-97";#N/A,#N/A,FALSE,"021-97";#N/A,#N/A,FALSE,"022-97";#N/A,#N/A,FALSE,"028-97"}</definedName>
    <definedName name="COMPOSIÇÕES">#REF!</definedName>
    <definedName name="CON">#N/A</definedName>
    <definedName name="concorrentes" localSheetId="4" hidden="1">{#N/A,#N/A,FALSE,"Cronograma";#N/A,#N/A,FALSE,"Cronogr. 2"}</definedName>
    <definedName name="concorrentes" hidden="1">{#N/A,#N/A,FALSE,"Cronograma";#N/A,#N/A,FALSE,"Cronogr. 2"}</definedName>
    <definedName name="COND" localSheetId="4">#REF!</definedName>
    <definedName name="COND">#REF!</definedName>
    <definedName name="CONE" localSheetId="4">#REF!</definedName>
    <definedName name="CONE">#REF!</definedName>
    <definedName name="ConeVol" localSheetId="4">#REF!</definedName>
    <definedName name="ConeVol">#REF!</definedName>
    <definedName name="confmc">#REF!</definedName>
    <definedName name="conftc">#REF!</definedName>
    <definedName name="conftg">#REF!</definedName>
    <definedName name="CONTADOR">#N/A</definedName>
    <definedName name="CONTCRON" localSheetId="4">#REF!</definedName>
    <definedName name="CONTCRON">#REF!</definedName>
    <definedName name="CONTCRONMOB">#N/A</definedName>
    <definedName name="CONTFUN" localSheetId="4">#REF!</definedName>
    <definedName name="CONTFUN">#REF!</definedName>
    <definedName name="CONTFUNCP" localSheetId="4">#REF!</definedName>
    <definedName name="CONTFUNCP">#REF!</definedName>
    <definedName name="CONTLINHA">#N/A</definedName>
    <definedName name="CONTP" localSheetId="4">#REF!:INDIRECT(#REF!)</definedName>
    <definedName name="CONTP">#REF!:INDIRECT(#REF!)</definedName>
    <definedName name="CONTPI" localSheetId="4">#REF!:INDIRECT(#REF!)</definedName>
    <definedName name="CONTPI">#REF!:INDIRECT(#REF!)</definedName>
    <definedName name="contrato" localSheetId="4">#REF!</definedName>
    <definedName name="contrato">#REF!</definedName>
    <definedName name="Contratos" localSheetId="3">#REF!</definedName>
    <definedName name="Contratos">#REF!</definedName>
    <definedName name="COPDIR">#N/A</definedName>
    <definedName name="COPIAFORM" localSheetId="4">#REF!</definedName>
    <definedName name="COPIAFORM">#REF!</definedName>
    <definedName name="COPIAFORM1" localSheetId="4">#REF!</definedName>
    <definedName name="COPIAFORM1">#REF!</definedName>
    <definedName name="COPIAFORM2" localSheetId="4">#REF!</definedName>
    <definedName name="COPIAFORM2">#REF!</definedName>
    <definedName name="COPIAR">#N/A</definedName>
    <definedName name="COPIND">#N/A</definedName>
    <definedName name="corte">#REF!</definedName>
    <definedName name="Country">#REF!</definedName>
    <definedName name="CP" localSheetId="4">#REF!</definedName>
    <definedName name="CP">#REF!</definedName>
    <definedName name="CPAV" localSheetId="4">#REF!</definedName>
    <definedName name="CPAV">#REF!</definedName>
    <definedName name="CPE" localSheetId="4">#REF!</definedName>
    <definedName name="CPE">#REF!</definedName>
    <definedName name="CPM" localSheetId="4">#REF!</definedName>
    <definedName name="CPM">#REF!</definedName>
    <definedName name="CPMO" localSheetId="4">#REF!</definedName>
    <definedName name="CPMO">#REF!</definedName>
    <definedName name="CPPROC" localSheetId="4">#REF!</definedName>
    <definedName name="CPPROC">#REF!</definedName>
    <definedName name="CPPROCHH" localSheetId="4">#REF!</definedName>
    <definedName name="CPPROCHH">#REF!</definedName>
    <definedName name="cpu" localSheetId="4">#REF!</definedName>
    <definedName name="cpu">#REF!</definedName>
    <definedName name="cpu_mat" localSheetId="4">#REF!</definedName>
    <definedName name="cpu_mat">#REF!</definedName>
    <definedName name="cpu_mdo" localSheetId="4">#REF!</definedName>
    <definedName name="cpu_mdo">#REF!</definedName>
    <definedName name="Criteria_MI" localSheetId="4">#REF!</definedName>
    <definedName name="Criteria_MI">#REF!</definedName>
    <definedName name="_xlnm.Criteria">#REF!</definedName>
    <definedName name="cron" localSheetId="4" hidden="1">{#N/A,#N/A,FALSE,"Cronograma";#N/A,#N/A,FALSE,"Cronogr. 2"}</definedName>
    <definedName name="cron" hidden="1">{#N/A,#N/A,FALSE,"Cronograma";#N/A,#N/A,FALSE,"Cronogr. 2"}</definedName>
    <definedName name="CRONALCASA1" localSheetId="4">#REF!</definedName>
    <definedName name="CRONALCASA1">#REF!</definedName>
    <definedName name="CRONALCASA2" localSheetId="4">#REF!</definedName>
    <definedName name="CRONALCASA2">#REF!</definedName>
    <definedName name="CRONCANT1" localSheetId="4">#REF!</definedName>
    <definedName name="CRONCANT1">#REF!</definedName>
    <definedName name="CRONCANT2" localSheetId="4">#REF!</definedName>
    <definedName name="CRONCANT2">#REF!</definedName>
    <definedName name="CRONCANT3" localSheetId="4">#REF!</definedName>
    <definedName name="CRONCANT3">#REF!</definedName>
    <definedName name="CRONCANT4" localSheetId="4">#REF!</definedName>
    <definedName name="CRONCANT4">#REF!</definedName>
    <definedName name="CRONCANT5" localSheetId="4">#REF!</definedName>
    <definedName name="CRONCANT5">#REF!</definedName>
    <definedName name="CRONEQLEVE1" localSheetId="4">#REF!</definedName>
    <definedName name="CRONEQLEVE1">#REF!</definedName>
    <definedName name="CRONEQLEVE2" localSheetId="4">#REF!</definedName>
    <definedName name="CRONEQLEVE2">#REF!</definedName>
    <definedName name="CRONEQLV2" localSheetId="4">#REF!</definedName>
    <definedName name="CRONEQLV2">#REF!</definedName>
    <definedName name="CRONEQLV3" localSheetId="4">#REF!</definedName>
    <definedName name="CRONEQLV3">#REF!</definedName>
    <definedName name="CRONEQLV4" localSheetId="4">#REF!</definedName>
    <definedName name="CRONEQLV4">#REF!</definedName>
    <definedName name="CRONEQLV5" localSheetId="4">#REF!</definedName>
    <definedName name="CRONEQLV5">#REF!</definedName>
    <definedName name="CRONEQLV7" localSheetId="4">#REF!</definedName>
    <definedName name="CRONEQLV7">#REF!</definedName>
    <definedName name="CRONEQLV8" localSheetId="4">#REF!</definedName>
    <definedName name="CRONEQLV8">#REF!</definedName>
    <definedName name="CRONEQMAN" localSheetId="4">#REF!</definedName>
    <definedName name="CRONEQMAN">#REF!</definedName>
    <definedName name="CRONEQPESALUG" localSheetId="4">#REF!</definedName>
    <definedName name="CRONEQPESALUG">#REF!</definedName>
    <definedName name="CRONFRETE1" localSheetId="4">#REF!</definedName>
    <definedName name="CRONFRETE1">#REF!</definedName>
    <definedName name="CRONFRETE2" localSheetId="4">#REF!</definedName>
    <definedName name="CRONFRETE2">#REF!</definedName>
    <definedName name="CRONGER">#N/A</definedName>
    <definedName name="CRONGERAL" localSheetId="4">#REF!</definedName>
    <definedName name="CRONGERAL">#REF!</definedName>
    <definedName name="CRONHOSP1" localSheetId="4">#REF!</definedName>
    <definedName name="CRONHOSP1">#REF!</definedName>
    <definedName name="CRONIE1" localSheetId="4">#REF!</definedName>
    <definedName name="CRONIE1">#REF!</definedName>
    <definedName name="CRONIE2" localSheetId="4">#REF!</definedName>
    <definedName name="CRONIE2">#REF!</definedName>
    <definedName name="CRONIE3" localSheetId="4">#REF!</definedName>
    <definedName name="CRONIE3">#REF!</definedName>
    <definedName name="CRONIMP">#N/A</definedName>
    <definedName name="CRONMATCANT" localSheetId="4">#REF!</definedName>
    <definedName name="CRONMATCANT">#REF!</definedName>
    <definedName name="CRONMOEENG" localSheetId="4">#REF!</definedName>
    <definedName name="CRONMOEENG">#REF!</definedName>
    <definedName name="CRONMOEI" localSheetId="4">#REF!</definedName>
    <definedName name="CRONMOEI">#REF!</definedName>
    <definedName name="CRONMOEI1" localSheetId="4">#REF!</definedName>
    <definedName name="CRONMOEI1">#REF!</definedName>
    <definedName name="CRONMOEI2" localSheetId="4">#REF!</definedName>
    <definedName name="CRONMOEI2">#REF!</definedName>
    <definedName name="CRONMOLE" localSheetId="4">#REF!</definedName>
    <definedName name="CRONMOLE">#REF!</definedName>
    <definedName name="CRONMOLI1" localSheetId="4">#REF!</definedName>
    <definedName name="CRONMOLI1">#REF!</definedName>
    <definedName name="CRONMOLI2" localSheetId="4">#REF!</definedName>
    <definedName name="CRONMOLI2">#REF!</definedName>
    <definedName name="CRONMOLI3" localSheetId="4">#REF!</definedName>
    <definedName name="CRONMOLI3">#REF!</definedName>
    <definedName name="CRONMOPE" localSheetId="4">#REF!</definedName>
    <definedName name="CRONMOPE">#REF!</definedName>
    <definedName name="CRONMOPI1" localSheetId="4">#REF!</definedName>
    <definedName name="CRONMOPI1">#REF!</definedName>
    <definedName name="CRONMOPI2" localSheetId="4">#REF!</definedName>
    <definedName name="CRONMOPI2">#REF!</definedName>
    <definedName name="CRONMUD1" localSheetId="4">#REF!</definedName>
    <definedName name="CRONMUD1">#REF!</definedName>
    <definedName name="CRONOG0">#N/A</definedName>
    <definedName name="CRONOG1">#N/A</definedName>
    <definedName name="CRONOGFIS">#N/A</definedName>
    <definedName name="CRONOGIN" localSheetId="4">#REF!</definedName>
    <definedName name="CRONOGIN">#REF!</definedName>
    <definedName name="cronograma">#REF!</definedName>
    <definedName name="CRONOGRAMAS">#N/A</definedName>
    <definedName name="CRONOPER" localSheetId="4">#REF!</definedName>
    <definedName name="CRONOPER">#REF!</definedName>
    <definedName name="CRONPAS1" localSheetId="4">#REF!</definedName>
    <definedName name="CRONPAS1">#REF!</definedName>
    <definedName name="CRONPAS2" localSheetId="4">#REF!</definedName>
    <definedName name="CRONPAS2">#REF!</definedName>
    <definedName name="CRONPERFORM" localSheetId="4">#REF!</definedName>
    <definedName name="CRONPERFORM">#REF!</definedName>
    <definedName name="CRONRECMAT" localSheetId="4">#REF!</definedName>
    <definedName name="CRONRECMAT">#REF!</definedName>
    <definedName name="CRONRESFEC1" localSheetId="4">#REF!</definedName>
    <definedName name="CRONRESFEC1">#REF!</definedName>
    <definedName name="CRONRESFEC2" localSheetId="4">#REF!</definedName>
    <definedName name="CRONRESFEC2">#REF!</definedName>
    <definedName name="CRONRESFEC3" localSheetId="4">#REF!</definedName>
    <definedName name="CRONRESFEC3">#REF!</definedName>
    <definedName name="CRONSERVDIV" localSheetId="4">#REF!</definedName>
    <definedName name="CRONSERVDIV">#REF!</definedName>
    <definedName name="CRONSUBEMP1" localSheetId="4">#REF!</definedName>
    <definedName name="CRONSUBEMP1">#REF!</definedName>
    <definedName name="CRONSUBEMP2" localSheetId="4">#REF!</definedName>
    <definedName name="CRONSUBEMP2">#REF!</definedName>
    <definedName name="CRONTESTES" localSheetId="4">#REF!</definedName>
    <definedName name="CRONTESTES">#REF!</definedName>
    <definedName name="CRONTOPOGCIVIL" localSheetId="4">#REF!</definedName>
    <definedName name="CRONTOPOGCIVIL">#REF!</definedName>
    <definedName name="CRONVEICMIP1" localSheetId="4">#REF!</definedName>
    <definedName name="CRONVEICMIP1">#REF!</definedName>
    <definedName name="CRONVEICMIP2" localSheetId="4">#REF!</definedName>
    <definedName name="CRONVEICMIP2">#REF!</definedName>
    <definedName name="CS" localSheetId="3">CTRL_SS!CS</definedName>
    <definedName name="CS">[0]!CS</definedName>
    <definedName name="CT" localSheetId="4">#REF!</definedName>
    <definedName name="CT">#REF!</definedName>
    <definedName name="Cte" localSheetId="4">#REF!</definedName>
    <definedName name="Cte">#REF!</definedName>
    <definedName name="CUSTO">#REF!</definedName>
    <definedName name="Custo_Administrativo__sobre_custo">#REF!</definedName>
    <definedName name="Custo_de_Compras_de_Hardwares_e_Softwares">#REF!</definedName>
    <definedName name="Custo_de_Despesas_de_Viagens___Estadia">#REF!</definedName>
    <definedName name="Custo_de_Subcontratação_de_Serviços">#REF!</definedName>
    <definedName name="CUSTOCPU" localSheetId="4">#REF!</definedName>
    <definedName name="CUSTOCPU">#REF!</definedName>
    <definedName name="CUSTOSUNIT" localSheetId="4">#REF!</definedName>
    <definedName name="CUSTOSUNIT">#REF!</definedName>
    <definedName name="CV" localSheetId="4">#REF!</definedName>
    <definedName name="CV">#REF!</definedName>
    <definedName name="D_Name">"ƒhƒƒbƒv 4"</definedName>
    <definedName name="DA" localSheetId="3">ANEXO IVA #REF! DE #REF!</definedName>
    <definedName name="DA">ANEXO IVA [0]!MAT DE #REF!</definedName>
    <definedName name="DADOS_BENS">#REF!</definedName>
    <definedName name="DADOS_SERV">#REF!</definedName>
    <definedName name="DANIEL" localSheetId="4">#REF!</definedName>
    <definedName name="DANIEL">#REF!</definedName>
    <definedName name="Data" localSheetId="4">#REF!</definedName>
    <definedName name="data">#REF!</definedName>
    <definedName name="Data.0">#REF!</definedName>
    <definedName name="Data.1">#REF!</definedName>
    <definedName name="Data.2">#REF!</definedName>
    <definedName name="Data.3">#REF!</definedName>
    <definedName name="Data.4">#REF!</definedName>
    <definedName name="Data.5">#REF!</definedName>
    <definedName name="Data.6">#REF!</definedName>
    <definedName name="Data.7">#REF!</definedName>
    <definedName name="Data.8">#REF!</definedName>
    <definedName name="DATA_HOJE" localSheetId="3">#REF!</definedName>
    <definedName name="DATA_HOJE">'[4]Dados do Gráfico'!$B$2</definedName>
    <definedName name="data1" hidden="1">#REF!</definedName>
    <definedName name="data2" hidden="1">#REF!</definedName>
    <definedName name="data3" hidden="1">#REF!</definedName>
    <definedName name="Database_MI" localSheetId="4">#REF!</definedName>
    <definedName name="Database_MI">#REF!</definedName>
    <definedName name="Databnew" localSheetId="2">#REF!</definedName>
    <definedName name="Databnew" localSheetId="3">#REF!</definedName>
    <definedName name="Databnew" localSheetId="0">#REF!</definedName>
    <definedName name="Databnew">#REF!</definedName>
    <definedName name="dax" localSheetId="3">ANEXO IVA #REF! DE #REF!</definedName>
    <definedName name="dax">ANEXO IVA [0]!MAT DE #REF!</definedName>
    <definedName name="days_per_wk">#REF!</definedName>
    <definedName name="dd" localSheetId="3">#REF!</definedName>
    <definedName name="dd" localSheetId="4" hidden="1">#REF!</definedName>
    <definedName name="dd">'[5]ITEM 2'!$E$10</definedName>
    <definedName name="ddd" localSheetId="3">#REF!</definedName>
    <definedName name="ddd">'[5]ITEM 2'!$E$12</definedName>
    <definedName name="dddd" localSheetId="3">ANEXO IVA [0]!MAT DE #REF!</definedName>
    <definedName name="dddd" localSheetId="4">ANEXO IVA 'DISTR-FIN'!MAT DE #REF!</definedName>
    <definedName name="dddd">ANEXO IVA MAT DE #REF!</definedName>
    <definedName name="ddddd"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EC" localSheetId="4">#REF!</definedName>
    <definedName name="DEC">#REF!</definedName>
    <definedName name="DEC_4">#N/A</definedName>
    <definedName name="DEC_5">#N/A</definedName>
    <definedName name="DEFEQUIP">#N/A</definedName>
    <definedName name="DEFEQUIP1">#N/A</definedName>
    <definedName name="del" localSheetId="4">#REF!</definedName>
    <definedName name="del">#REF!</definedName>
    <definedName name="Dens">#REF!</definedName>
    <definedName name="densidade_cap">#REF!</definedName>
    <definedName name="dept">#REF!</definedName>
    <definedName name="DES">#REF!</definedName>
    <definedName name="Descricao_projeto" localSheetId="4">#REF!</definedName>
    <definedName name="Descricao_projeto">#REF!</definedName>
    <definedName name="DESFPORC">#N/A</definedName>
    <definedName name="desniv" localSheetId="3" hidden="1">{#N/A,#N/A,FALSE,"RESUMO-BB1";#N/A,#N/A,FALSE,"MOD-A01-R - BB1";#N/A,#N/A,FALSE,"URB-BB1"}</definedName>
    <definedName name="desniv" localSheetId="4" hidden="1">{#N/A,#N/A,FALSE,"RESUMO-BB1";#N/A,#N/A,FALSE,"MOD-A01-R - BB1";#N/A,#N/A,FALSE,"URB-BB1"}</definedName>
    <definedName name="desniv" hidden="1">{#N/A,#N/A,FALSE,"RESUMO-BB1";#N/A,#N/A,FALSE,"MOD-A01-R - BB1";#N/A,#N/A,FALSE,"URB-BB1"}</definedName>
    <definedName name="DESNIVEL" localSheetId="3" hidden="1">{#N/A,#N/A,FALSE,"RESUMO-BB1";#N/A,#N/A,FALSE,"MOD-A01-R - BB1";#N/A,#N/A,FALSE,"URB-BB1"}</definedName>
    <definedName name="DESNIVEL" localSheetId="4" hidden="1">{#N/A,#N/A,FALSE,"RESUMO-BB1";#N/A,#N/A,FALSE,"MOD-A01-R - BB1";#N/A,#N/A,FALSE,"URB-BB1"}</definedName>
    <definedName name="DESNIVEL" hidden="1">{#N/A,#N/A,FALSE,"RESUMO-BB1";#N/A,#N/A,FALSE,"MOD-A01-R - BB1";#N/A,#N/A,FALSE,"URB-BB1"}</definedName>
    <definedName name="DESNIVELRES" localSheetId="3" hidden="1">{#N/A,#N/A,FALSE,"RESUMO-BB1";#N/A,#N/A,FALSE,"MOD-A01-R - BB1";#N/A,#N/A,FALSE,"URB-BB1"}</definedName>
    <definedName name="DESNIVELRES" localSheetId="4" hidden="1">{#N/A,#N/A,FALSE,"RESUMO-BB1";#N/A,#N/A,FALSE,"MOD-A01-R - BB1";#N/A,#N/A,FALSE,"URB-BB1"}</definedName>
    <definedName name="DESNIVELRES" hidden="1">{#N/A,#N/A,FALSE,"RESUMO-BB1";#N/A,#N/A,FALSE,"MOD-A01-R - BB1";#N/A,#N/A,FALSE,"URB-BB1"}</definedName>
    <definedName name="Desoneração">#REF!</definedName>
    <definedName name="Desonerado">#REF!</definedName>
    <definedName name="Despesas">#REF!</definedName>
    <definedName name="dffasf" localSheetId="3" hidden="1">{#N/A,#N/A,TRUE,"indice";#N/A,#N/A,TRUE,"indicadores";#N/A,#N/A,TRUE,"comentarios"}</definedName>
    <definedName name="dffasf" hidden="1">{#N/A,#N/A,TRUE,"indice";#N/A,#N/A,TRUE,"indicadores";#N/A,#N/A,TRUE,"comentarios"}</definedName>
    <definedName name="dfhgdf" localSheetId="3" hidden="1">{#N/A,#N/A,TRUE,"indice";#N/A,#N/A,TRUE,"indicadores";#N/A,#N/A,TRUE,"comentarios"}</definedName>
    <definedName name="dfhgdf" hidden="1">{#N/A,#N/A,TRUE,"indice";#N/A,#N/A,TRUE,"indicadores";#N/A,#N/A,TRUE,"comentarios"}</definedName>
    <definedName name="Dias">#REF!</definedName>
    <definedName name="DIFHH">#N/A</definedName>
    <definedName name="DIFMOB">#N/A</definedName>
    <definedName name="DIFMOB1">#N/A</definedName>
    <definedName name="DIFMOB2">#N/A</definedName>
    <definedName name="DIN_Code" localSheetId="4">#REF!</definedName>
    <definedName name="DIN_Code">#REF!</definedName>
    <definedName name="DIRIND">#N/A</definedName>
    <definedName name="Disciplina" localSheetId="4">#REF!</definedName>
    <definedName name="Disciplina">#REF!</definedName>
    <definedName name="Discount" hidden="1">#REF!</definedName>
    <definedName name="display_area_2" hidden="1">#REF!</definedName>
    <definedName name="Display_Data" localSheetId="3">CTRL_SS!Display_Data</definedName>
    <definedName name="Display_Data" localSheetId="4">#N/A</definedName>
    <definedName name="Display_Data">[0]!Display_Data</definedName>
    <definedName name="dispmc">#REF!</definedName>
    <definedName name="disptc">#REF!</definedName>
    <definedName name="disptg">#REF!</definedName>
    <definedName name="DIST" localSheetId="4">#REF!</definedName>
    <definedName name="DIST">#REF!</definedName>
    <definedName name="DIST1" localSheetId="4">#REF!</definedName>
    <definedName name="DIST1">#REF!</definedName>
    <definedName name="DIST10" localSheetId="4">#REF!</definedName>
    <definedName name="DIST10">#REF!</definedName>
    <definedName name="DIST2" localSheetId="4">#REF!</definedName>
    <definedName name="DIST2">#REF!</definedName>
    <definedName name="DIVE" localSheetId="4">#REF!</definedName>
    <definedName name="DIVE">#REF!</definedName>
    <definedName name="DMT_0_50">#REF!</definedName>
    <definedName name="DMT_1000">#REF!</definedName>
    <definedName name="DMT_200">#REF!</definedName>
    <definedName name="DMT_200_400">#REF!</definedName>
    <definedName name="DMT_400">#REF!</definedName>
    <definedName name="DMT_400_600">#REF!</definedName>
    <definedName name="DMT_50">#REF!</definedName>
    <definedName name="DMT_50_200">#REF!</definedName>
    <definedName name="DMT_600">#REF!</definedName>
    <definedName name="DMT_800">#REF!</definedName>
    <definedName name="Doc_Class">#REF!</definedName>
    <definedName name="DocClass">#REF!</definedName>
    <definedName name="DocType">#REF!</definedName>
    <definedName name="dolar" localSheetId="2">#REF!</definedName>
    <definedName name="dolar" localSheetId="3">#REF!</definedName>
    <definedName name="dolar" localSheetId="0">#REF!</definedName>
    <definedName name="dolar">#REF!</definedName>
    <definedName name="DPM_Eletricidade_Ltda." localSheetId="4">#REF!</definedName>
    <definedName name="DPM_Eletricidade_Ltda.">#REF!</definedName>
    <definedName name="Dqwfx231" localSheetId="4" hidden="1">#REF!</definedName>
    <definedName name="Dqwfx231" hidden="1">#REF!</definedName>
    <definedName name="drena">#REF!</definedName>
    <definedName name="dsda" localSheetId="3" hidden="1">{#N/A,#N/A,TRUE,"indice";#N/A,#N/A,TRUE,"indicadores";#N/A,#N/A,TRUE,"comentarios"}</definedName>
    <definedName name="dsda" hidden="1">{#N/A,#N/A,TRUE,"indice";#N/A,#N/A,TRUE,"indicadores";#N/A,#N/A,TRUE,"comentarios"}</definedName>
    <definedName name="dsfs" localSheetId="4" hidden="1">{#N/A,#N/A,FALSE,"GERAL";#N/A,#N/A,FALSE,"012-96";#N/A,#N/A,FALSE,"018-96";#N/A,#N/A,FALSE,"027-96";#N/A,#N/A,FALSE,"059-96";#N/A,#N/A,FALSE,"076-96";#N/A,#N/A,FALSE,"019-97";#N/A,#N/A,FALSE,"021-97";#N/A,#N/A,FALSE,"022-97";#N/A,#N/A,FALSE,"028-97"}</definedName>
    <definedName name="dsfs" hidden="1">{#N/A,#N/A,FALSE,"GERAL";#N/A,#N/A,FALSE,"012-96";#N/A,#N/A,FALSE,"018-96";#N/A,#N/A,FALSE,"027-96";#N/A,#N/A,FALSE,"059-96";#N/A,#N/A,FALSE,"076-96";#N/A,#N/A,FALSE,"019-97";#N/A,#N/A,FALSE,"021-97";#N/A,#N/A,FALSE,"022-97";#N/A,#N/A,FALSE,"028-97"}</definedName>
    <definedName name="dsrgdergdrg" localSheetId="4" hidden="1">{#N/A,#N/A,FALSE,"GERAL";#N/A,#N/A,FALSE,"012-96";#N/A,#N/A,FALSE,"018-96";#N/A,#N/A,FALSE,"027-96";#N/A,#N/A,FALSE,"059-96";#N/A,#N/A,FALSE,"076-96";#N/A,#N/A,FALSE,"019-97";#N/A,#N/A,FALSE,"021-97";#N/A,#N/A,FALSE,"022-97";#N/A,#N/A,FALSE,"028-97"}</definedName>
    <definedName name="dsrgdergdrg" hidden="1">{#N/A,#N/A,FALSE,"GERAL";#N/A,#N/A,FALSE,"012-96";#N/A,#N/A,FALSE,"018-96";#N/A,#N/A,FALSE,"027-96";#N/A,#N/A,FALSE,"059-96";#N/A,#N/A,FALSE,"076-96";#N/A,#N/A,FALSE,"019-97";#N/A,#N/A,FALSE,"021-97";#N/A,#N/A,FALSE,"022-97";#N/A,#N/A,FALSE,"028-97"}</definedName>
    <definedName name="DSUM">#N/A</definedName>
    <definedName name="E" localSheetId="3">#REF!</definedName>
    <definedName name="E" localSheetId="4">#REF!</definedName>
    <definedName name="E">#REF!</definedName>
    <definedName name="E_23" localSheetId="4">#REF!</definedName>
    <definedName name="E_23">#REF!</definedName>
    <definedName name="E_24" localSheetId="4">#REF!</definedName>
    <definedName name="E_24">#REF!</definedName>
    <definedName name="E_25" localSheetId="4">#REF!</definedName>
    <definedName name="E_25">#REF!</definedName>
    <definedName name="E_26" localSheetId="4">#REF!</definedName>
    <definedName name="E_26">#REF!</definedName>
    <definedName name="EAP" localSheetId="4">#REF!</definedName>
    <definedName name="EAP">#REF!</definedName>
    <definedName name="EarnedCurrentCONow">#REF!</definedName>
    <definedName name="EarnedCurrentCOPrior">#REF!</definedName>
    <definedName name="EarnedCurrentIndirect">#REF!</definedName>
    <definedName name="EarnedCurrentlyDirect">#REF!</definedName>
    <definedName name="EarnedPreviouslyCONow">#REF!</definedName>
    <definedName name="EarnedPreviouslyCOPrior">#REF!</definedName>
    <definedName name="EarnedPreviouslyDirect">#REF!</definedName>
    <definedName name="EarnedPreviouslyIndirect">#REF!</definedName>
    <definedName name="EASD">#REF!</definedName>
    <definedName name="EASEMENTS">#REF!</definedName>
    <definedName name="ee"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E" localSheetId="4" hidden="1">{#N/A,#N/A,FALSE,"GERAL";#N/A,#N/A,FALSE,"012-96";#N/A,#N/A,FALSE,"018-96";#N/A,#N/A,FALSE,"027-96";#N/A,#N/A,FALSE,"059-96";#N/A,#N/A,FALSE,"076-96";#N/A,#N/A,FALSE,"019-97";#N/A,#N/A,FALSE,"021-97";#N/A,#N/A,FALSE,"022-97";#N/A,#N/A,FALSE,"028-97"}</definedName>
    <definedName name="EEE" hidden="1">{#N/A,#N/A,FALSE,"GERAL";#N/A,#N/A,FALSE,"012-96";#N/A,#N/A,FALSE,"018-96";#N/A,#N/A,FALSE,"027-96";#N/A,#N/A,FALSE,"059-96";#N/A,#N/A,FALSE,"076-96";#N/A,#N/A,FALSE,"019-97";#N/A,#N/A,FALSE,"021-97";#N/A,#N/A,FALSE,"022-97";#N/A,#N/A,FALSE,"028-97"}</definedName>
    <definedName name="eeee">#REF!</definedName>
    <definedName name="EEER">#REF!</definedName>
    <definedName name="efe.cal">#REF!</definedName>
    <definedName name="efe.ciclo">#REF!</definedName>
    <definedName name="efe.gas">#REF!</definedName>
    <definedName name="efe.se">#REF!</definedName>
    <definedName name="efe.tub">#REF!</definedName>
    <definedName name="EFETOT" localSheetId="4">#REF!</definedName>
    <definedName name="EFETOT">#REF!</definedName>
    <definedName name="EFETOTMES">#N/A</definedName>
    <definedName name="EFF" localSheetId="4" hidden="1">{#N/A,#N/A,FALSE,"GERAL";#N/A,#N/A,FALSE,"012-96";#N/A,#N/A,FALSE,"018-96";#N/A,#N/A,FALSE,"027-96";#N/A,#N/A,FALSE,"059-96";#N/A,#N/A,FALSE,"076-96";#N/A,#N/A,FALSE,"019-97";#N/A,#N/A,FALSE,"021-97";#N/A,#N/A,FALSE,"022-97";#N/A,#N/A,FALSE,"028-97"}</definedName>
    <definedName name="EFF" hidden="1">{#N/A,#N/A,FALSE,"GERAL";#N/A,#N/A,FALSE,"012-96";#N/A,#N/A,FALSE,"018-96";#N/A,#N/A,FALSE,"027-96";#N/A,#N/A,FALSE,"059-96";#N/A,#N/A,FALSE,"076-96";#N/A,#N/A,FALSE,"019-97";#N/A,#N/A,FALSE,"021-97";#N/A,#N/A,FALSE,"022-97";#N/A,#N/A,FALSE,"028-97"}</definedName>
    <definedName name="Eh" localSheetId="3">#REF!</definedName>
    <definedName name="Eh" localSheetId="4">#REF!</definedName>
    <definedName name="Eh">#REF!</definedName>
    <definedName name="Eh_23" localSheetId="4">#REF!</definedName>
    <definedName name="Eh_23">#REF!</definedName>
    <definedName name="Eh_24" localSheetId="4">#REF!</definedName>
    <definedName name="Eh_24">#REF!</definedName>
    <definedName name="Eh_25" localSheetId="4">#REF!</definedName>
    <definedName name="Eh_25">#REF!</definedName>
    <definedName name="Eh_26" localSheetId="4">#REF!</definedName>
    <definedName name="Eh_26">#REF!</definedName>
    <definedName name="EL08BATERÍACAPACITORES">#REF!</definedName>
    <definedName name="EL10ILUMINACIÓN">#REF!</definedName>
    <definedName name="EL12MORSETE">#REF!</definedName>
    <definedName name="ELECTRICAL" localSheetId="4">#REF!</definedName>
    <definedName name="ELECTRICAL">#REF!</definedName>
    <definedName name="Eletricista" localSheetId="4">#REF!</definedName>
    <definedName name="Eletricista">#REF!</definedName>
    <definedName name="eletro" localSheetId="4">#REF!</definedName>
    <definedName name="eletro">#REF!</definedName>
    <definedName name="Elis1" localSheetId="4" hidden="1">#REF!</definedName>
    <definedName name="Elis1" hidden="1">#REF!</definedName>
    <definedName name="Elis10" localSheetId="4" hidden="1">#REF!</definedName>
    <definedName name="Elis10" hidden="1">#REF!</definedName>
    <definedName name="Elis11" localSheetId="4" hidden="1">#REF!</definedName>
    <definedName name="Elis11" hidden="1">#REF!</definedName>
    <definedName name="Elis12" localSheetId="4" hidden="1">#REF!</definedName>
    <definedName name="Elis12" hidden="1">#REF!</definedName>
    <definedName name="Elis13" localSheetId="4" hidden="1">#REF!</definedName>
    <definedName name="Elis13" hidden="1">#REF!</definedName>
    <definedName name="Elis14" localSheetId="4" hidden="1">#REF!</definedName>
    <definedName name="Elis14" hidden="1">#REF!</definedName>
    <definedName name="Elis15" localSheetId="4" hidden="1">#REF!</definedName>
    <definedName name="Elis15" hidden="1">#REF!</definedName>
    <definedName name="Elis16" localSheetId="4" hidden="1">#REF!</definedName>
    <definedName name="Elis16" hidden="1">#REF!</definedName>
    <definedName name="Elis17" localSheetId="4" hidden="1">#REF!</definedName>
    <definedName name="Elis17" hidden="1">#REF!</definedName>
    <definedName name="Elis18" localSheetId="4" hidden="1">#REF!</definedName>
    <definedName name="Elis18" hidden="1">#REF!</definedName>
    <definedName name="Elis19" localSheetId="4" hidden="1">#REF!</definedName>
    <definedName name="Elis19" hidden="1">#REF!</definedName>
    <definedName name="Elis2" localSheetId="4" hidden="1">#REF!</definedName>
    <definedName name="Elis2" hidden="1">#REF!</definedName>
    <definedName name="Elis20" localSheetId="4" hidden="1">#REF!</definedName>
    <definedName name="Elis20" hidden="1">#REF!</definedName>
    <definedName name="Elis21" localSheetId="4" hidden="1">#REF!</definedName>
    <definedName name="Elis21" hidden="1">#REF!</definedName>
    <definedName name="Elis22" localSheetId="4" hidden="1">#REF!</definedName>
    <definedName name="Elis22" hidden="1">#REF!</definedName>
    <definedName name="Elis23" localSheetId="4" hidden="1">#REF!</definedName>
    <definedName name="Elis23" hidden="1">#REF!</definedName>
    <definedName name="Elis24" localSheetId="4" hidden="1">#REF!</definedName>
    <definedName name="Elis24" hidden="1">#REF!</definedName>
    <definedName name="Elis25" localSheetId="4" hidden="1">#REF!</definedName>
    <definedName name="Elis25" hidden="1">#REF!</definedName>
    <definedName name="Elis26" localSheetId="4" hidden="1">#REF!</definedName>
    <definedName name="Elis26" hidden="1">#REF!</definedName>
    <definedName name="Elis2605" localSheetId="4" hidden="1">#REF!</definedName>
    <definedName name="Elis2605" hidden="1">#REF!</definedName>
    <definedName name="Elis27" localSheetId="4" hidden="1">#REF!</definedName>
    <definedName name="Elis27" hidden="1">#REF!</definedName>
    <definedName name="Elis28" localSheetId="4" hidden="1">#REF!</definedName>
    <definedName name="Elis28" hidden="1">#REF!</definedName>
    <definedName name="Elis29" localSheetId="4" hidden="1">#REF!</definedName>
    <definedName name="Elis29" hidden="1">#REF!</definedName>
    <definedName name="Elis3" localSheetId="4" hidden="1">#REF!</definedName>
    <definedName name="Elis3" hidden="1">#REF!</definedName>
    <definedName name="Elis30" localSheetId="4" hidden="1">#REF!</definedName>
    <definedName name="Elis30" hidden="1">#REF!</definedName>
    <definedName name="Elis31" localSheetId="4" hidden="1">#REF!</definedName>
    <definedName name="Elis31" hidden="1">#REF!</definedName>
    <definedName name="Elis32" localSheetId="4" hidden="1">#REF!</definedName>
    <definedName name="Elis32" hidden="1">#REF!</definedName>
    <definedName name="Elis33" localSheetId="4" hidden="1">#REF!</definedName>
    <definedName name="Elis33" hidden="1">#REF!</definedName>
    <definedName name="Elis34" localSheetId="4" hidden="1">#REF!</definedName>
    <definedName name="Elis34" hidden="1">#REF!</definedName>
    <definedName name="Elis35" localSheetId="4" hidden="1">#REF!</definedName>
    <definedName name="Elis35" hidden="1">#REF!</definedName>
    <definedName name="Elis36" localSheetId="4" hidden="1">#REF!</definedName>
    <definedName name="Elis36" hidden="1">#REF!</definedName>
    <definedName name="Elis37" localSheetId="4" hidden="1">#REF!</definedName>
    <definedName name="Elis37" hidden="1">#REF!</definedName>
    <definedName name="Elis4" localSheetId="4" hidden="1">#REF!</definedName>
    <definedName name="Elis4" hidden="1">#REF!</definedName>
    <definedName name="Elis5" localSheetId="4" hidden="1">#REF!</definedName>
    <definedName name="Elis5" hidden="1">#REF!</definedName>
    <definedName name="Elis6" localSheetId="4" hidden="1">#REF!</definedName>
    <definedName name="Elis6" hidden="1">#REF!</definedName>
    <definedName name="Elis7" localSheetId="4" hidden="1">#REF!</definedName>
    <definedName name="Elis7" hidden="1">#REF!</definedName>
    <definedName name="Elis8" localSheetId="4" hidden="1">#REF!</definedName>
    <definedName name="Elis8" hidden="1">#REF!</definedName>
    <definedName name="Elis9" localSheetId="4" hidden="1">#REF!</definedName>
    <definedName name="Elis9" hidden="1">#REF!</definedName>
    <definedName name="Elis92" localSheetId="4" hidden="1">#REF!</definedName>
    <definedName name="Elis92" hidden="1">#REF!</definedName>
    <definedName name="Email">#REF!</definedName>
    <definedName name="Empolamento">#REF!</definedName>
    <definedName name="ENCARGOS">#REF!</definedName>
    <definedName name="ENCHOR">#N/A</definedName>
    <definedName name="ENCMEN">#N/A</definedName>
    <definedName name="encsoc" localSheetId="4">#REF!</definedName>
    <definedName name="encsoc">#REF!</definedName>
    <definedName name="eng">#REF!</definedName>
    <definedName name="ENTDADOS">#N/A</definedName>
    <definedName name="EPIUNIT" localSheetId="4">#REF!</definedName>
    <definedName name="EPIUNIT">#REF!</definedName>
    <definedName name="EPSON">#REF!</definedName>
    <definedName name="EPVT">#REF!</definedName>
    <definedName name="EQ" localSheetId="4">#REF!</definedName>
    <definedName name="EQ">#N/A</definedName>
    <definedName name="EQAPO" localSheetId="4">#REF!</definedName>
    <definedName name="EQAPO">#REF!</definedName>
    <definedName name="EQCEM" localSheetId="4">#REF!</definedName>
    <definedName name="EQCEM">#REF!</definedName>
    <definedName name="EQCIV" localSheetId="4">#REF!</definedName>
    <definedName name="EQCIV">#REF!</definedName>
    <definedName name="EQCOM">#REF!</definedName>
    <definedName name="EQDIVUNIT" localSheetId="4">#REF!</definedName>
    <definedName name="EQDIVUNIT">#REF!</definedName>
    <definedName name="EQESPUNIT" localSheetId="4">#REF!</definedName>
    <definedName name="EQESPUNIT">#REF!</definedName>
    <definedName name="EQMON">#REF!</definedName>
    <definedName name="EQP" localSheetId="4">#REF!</definedName>
    <definedName name="EQP">#REF!</definedName>
    <definedName name="EQPTO">#REF!</definedName>
    <definedName name="EQSEC" localSheetId="4">#REF!</definedName>
    <definedName name="EQSEC">#REF!</definedName>
    <definedName name="EQSTR">#N/A</definedName>
    <definedName name="EQUI" localSheetId="4">#REF!</definedName>
    <definedName name="EQUI">#REF!</definedName>
    <definedName name="EQUIP" localSheetId="4">#REF!</definedName>
    <definedName name="EQUIP">#REF!</definedName>
    <definedName name="EQUIPA" localSheetId="4">#REF!</definedName>
    <definedName name="EQUIPA">#REF!</definedName>
    <definedName name="EQUIPAMENTO" localSheetId="4">#REF!</definedName>
    <definedName name="EQUIPAMENTO">#REF!</definedName>
    <definedName name="EQUIPE" localSheetId="4">#REF!</definedName>
    <definedName name="EQUIPE">#REF!</definedName>
    <definedName name="EQUIPEB" localSheetId="4">#REF!</definedName>
    <definedName name="EQUIPEB">#REF!</definedName>
    <definedName name="EQUIPEC" localSheetId="4">#REF!</definedName>
    <definedName name="EQUIPEC">#REF!</definedName>
    <definedName name="EQUIPECA" localSheetId="4">#REF!</definedName>
    <definedName name="EQUIPECA">#REF!</definedName>
    <definedName name="EQUIPECD" localSheetId="4">#REF!</definedName>
    <definedName name="EQUIPECD">#REF!</definedName>
    <definedName name="EQUIPECM" localSheetId="4">#REF!</definedName>
    <definedName name="EQUIPECM">#REF!</definedName>
    <definedName name="EQUIPECT" localSheetId="4">#REF!</definedName>
    <definedName name="EQUIPECT">#REF!</definedName>
    <definedName name="EQUIPECV" localSheetId="4">#REF!</definedName>
    <definedName name="EQUIPECV">#REF!</definedName>
    <definedName name="EQUIPEE" localSheetId="4">#REF!</definedName>
    <definedName name="EQUIPEE">#REF!</definedName>
    <definedName name="EQUIPEF" localSheetId="4">#REF!</definedName>
    <definedName name="EQUIPEF">#REF!</definedName>
    <definedName name="EQUIPEJP" localSheetId="4">#REF!</definedName>
    <definedName name="EQUIPEJP">#REF!</definedName>
    <definedName name="EQUIPEL" localSheetId="4">#REF!</definedName>
    <definedName name="EQUIPEL">#REF!</definedName>
    <definedName name="EQUIPELE" localSheetId="4">#REF!</definedName>
    <definedName name="EQUIPELE">#REF!</definedName>
    <definedName name="EQUIPEM" localSheetId="4">#REF!</definedName>
    <definedName name="EQUIPEM">#REF!</definedName>
    <definedName name="EQUIPEN" localSheetId="4">#REF!</definedName>
    <definedName name="EQUIPEN">#REF!</definedName>
    <definedName name="EQUIPEP" localSheetId="4">#REF!</definedName>
    <definedName name="EQUIPEP">#REF!</definedName>
    <definedName name="EQUIPEQ" localSheetId="4">#REF!</definedName>
    <definedName name="EQUIPEQ">#REF!</definedName>
    <definedName name="EQUIPERP" localSheetId="4">#REF!</definedName>
    <definedName name="EQUIPERP">#REF!</definedName>
    <definedName name="EQUIPES" localSheetId="4">#REF!</definedName>
    <definedName name="EQUIPES">#REF!</definedName>
    <definedName name="EQUIPETACF" localSheetId="4">#REF!</definedName>
    <definedName name="EQUIPETACF">#REF!</definedName>
    <definedName name="EQUIPETACI" localSheetId="4">#REF!</definedName>
    <definedName name="EQUIPETACI">#REF!</definedName>
    <definedName name="EQUIPETACR" localSheetId="4">#REF!</definedName>
    <definedName name="EQUIPETACR">#REF!</definedName>
    <definedName name="EQUIPETACS" localSheetId="4">#REF!</definedName>
    <definedName name="EQUIPETACS">#REF!</definedName>
    <definedName name="EQUIPETI" localSheetId="4">#REF!</definedName>
    <definedName name="EQUIPETI">#REF!</definedName>
    <definedName name="EQUIPETPEADS" localSheetId="4">#REF!</definedName>
    <definedName name="EQUIPETPEADS">#REF!</definedName>
    <definedName name="EQUIPETPVCR" localSheetId="4">#REF!</definedName>
    <definedName name="EQUIPETPVCR">#REF!</definedName>
    <definedName name="EQUIPETPVCS" localSheetId="4">#REF!</definedName>
    <definedName name="EQUIPETPVCS">#REF!</definedName>
    <definedName name="EQUIPETRA" localSheetId="4">#REF!</definedName>
    <definedName name="EQUIPETRA">#REF!</definedName>
    <definedName name="ER" localSheetId="4" hidden="1">{#N/A,#N/A,FALSE,"GERAL";#N/A,#N/A,FALSE,"012-96";#N/A,#N/A,FALSE,"018-96";#N/A,#N/A,FALSE,"027-96";#N/A,#N/A,FALSE,"059-96";#N/A,#N/A,FALSE,"076-96";#N/A,#N/A,FALSE,"019-97";#N/A,#N/A,FALSE,"021-97";#N/A,#N/A,FALSE,"022-97";#N/A,#N/A,FALSE,"028-97"}</definedName>
    <definedName name="er">#REF!</definedName>
    <definedName name="er4w" hidden="1">#REF!</definedName>
    <definedName name="ERASECRON">#N/A</definedName>
    <definedName name="erika" localSheetId="4" hidden="1">{#N/A,#N/A,FALSE,"GERAL";#N/A,#N/A,FALSE,"012-96";#N/A,#N/A,FALSE,"018-96";#N/A,#N/A,FALSE,"027-96";#N/A,#N/A,FALSE,"059-96";#N/A,#N/A,FALSE,"076-96";#N/A,#N/A,FALSE,"019-97";#N/A,#N/A,FALSE,"021-97";#N/A,#N/A,FALSE,"022-97";#N/A,#N/A,FALSE,"028-97"}</definedName>
    <definedName name="erika" hidden="1">{#N/A,#N/A,FALSE,"GERAL";#N/A,#N/A,FALSE,"012-96";#N/A,#N/A,FALSE,"018-96";#N/A,#N/A,FALSE,"027-96";#N/A,#N/A,FALSE,"059-96";#N/A,#N/A,FALSE,"076-96";#N/A,#N/A,FALSE,"019-97";#N/A,#N/A,FALSE,"021-97";#N/A,#N/A,FALSE,"022-97";#N/A,#N/A,FALSE,"028-97"}</definedName>
    <definedName name="erika3" localSheetId="4" hidden="1">{#N/A,#N/A,FALSE,"Cronograma";#N/A,#N/A,FALSE,"Cronogr. 2"}</definedName>
    <definedName name="erika3" hidden="1">{#N/A,#N/A,FALSE,"Cronograma";#N/A,#N/A,FALSE,"Cronogr. 2"}</definedName>
    <definedName name="Escopo">#REF!</definedName>
    <definedName name="ESCOPO_TAG">#REF!</definedName>
    <definedName name="ESPESSAMENTO" localSheetId="4" hidden="1">{#N/A,#N/A,FALSE,"GERAL";#N/A,#N/A,FALSE,"012-96";#N/A,#N/A,FALSE,"018-96";#N/A,#N/A,FALSE,"027-96";#N/A,#N/A,FALSE,"059-96";#N/A,#N/A,FALSE,"076-96";#N/A,#N/A,FALSE,"019-97";#N/A,#N/A,FALSE,"021-97";#N/A,#N/A,FALSE,"022-97";#N/A,#N/A,FALSE,"028-97"}</definedName>
    <definedName name="ESPESSAMENTO" hidden="1">{#N/A,#N/A,FALSE,"GERAL";#N/A,#N/A,FALSE,"012-96";#N/A,#N/A,FALSE,"018-96";#N/A,#N/A,FALSE,"027-96";#N/A,#N/A,FALSE,"059-96";#N/A,#N/A,FALSE,"076-96";#N/A,#N/A,FALSE,"019-97";#N/A,#N/A,FALSE,"021-97";#N/A,#N/A,FALSE,"022-97";#N/A,#N/A,FALSE,"028-97"}</definedName>
    <definedName name="est">#REF!</definedName>
    <definedName name="Estilo" localSheetId="4">#REF!</definedName>
    <definedName name="Estilo">#REF!</definedName>
    <definedName name="etagig">#REF!</definedName>
    <definedName name="etagim">#REF!</definedName>
    <definedName name="etagit">#REF!</definedName>
    <definedName name="etatm">#REF!</definedName>
    <definedName name="etatmmc">#REF!</definedName>
    <definedName name="eu">#REF!</definedName>
    <definedName name="euro">#REF!</definedName>
    <definedName name="ew23dfg2" localSheetId="4" hidden="1">#REF!</definedName>
    <definedName name="ew23dfg2" hidden="1">#REF!</definedName>
    <definedName name="ewr1se2r" localSheetId="4" hidden="1">#REF!</definedName>
    <definedName name="ewr1se2r" hidden="1">#REF!</definedName>
    <definedName name="EXAMUNIT" localSheetId="4">#REF!</definedName>
    <definedName name="EXAMUNIT">#REF!</definedName>
    <definedName name="Excel_BuiltIn__FilterDatabase_8">"$#REF!.$I$4:$J$6"</definedName>
    <definedName name="Excel_BuiltIn_Criteria">#N/A</definedName>
    <definedName name="Excel_BuiltIn_Extract" localSheetId="4">#REF!</definedName>
    <definedName name="Excel_BuiltIn_Extract">#REF!</definedName>
    <definedName name="Excel_BuiltIn_Print_Area_10">"$#REF!.$A$1:$G$25"</definedName>
    <definedName name="Excel_BuiltIn_Print_Area_26_1" localSheetId="4">#REF!</definedName>
    <definedName name="Excel_BuiltIn_Print_Area_26_1">#REF!</definedName>
    <definedName name="Excel_BuiltIn_Print_Area_5">"$#REF!.$A$1:$C$47"</definedName>
    <definedName name="Excel_BuiltIn_Print_Area_7">"$#REF!.$A$1:$DR$52"</definedName>
    <definedName name="Excel_BuiltIn_Print_Area_8">"$#REF!.$A$1:$O$447"</definedName>
    <definedName name="Excel_BuiltIn_Print_Titles_7">"$#REF!.$A$1:$B$65536"</definedName>
    <definedName name="Excel_BuiltIn_Print_Titles_8">"$#REF!.$A$1:$AMJ$3"</definedName>
    <definedName name="Exec.0">#REF!</definedName>
    <definedName name="Exec.1">#REF!</definedName>
    <definedName name="Exec.2">#REF!</definedName>
    <definedName name="Exec.3">#REF!</definedName>
    <definedName name="Exec.4">#REF!</definedName>
    <definedName name="Exec.5">#REF!</definedName>
    <definedName name="Exec.6">#REF!</definedName>
    <definedName name="Exec.7">#REF!</definedName>
    <definedName name="Exec.8">#REF!</definedName>
    <definedName name="ExecPess"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ecPes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hibit_E_Part_1">#REF!</definedName>
    <definedName name="Exhibit_E_Part_2">#REF!</definedName>
    <definedName name="Exhibit_K_Part_1">#REF!</definedName>
    <definedName name="Exhibit_K_Part_2">#REF!</definedName>
    <definedName name="EXTENSÃO" localSheetId="4">#REF!</definedName>
    <definedName name="EXTENSÃO">#REF!</definedName>
    <definedName name="Extract_MI" localSheetId="4">#REF!</definedName>
    <definedName name="Extract_MI">#REF!</definedName>
    <definedName name="F" localSheetId="4">#REF!</definedName>
    <definedName name="F">#REF!,#REF!,#REF!,#REF!,#REF!,#REF!,#REF!,#REF!,#REF!,#REF!,#REF!</definedName>
    <definedName name="fabricia"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abrici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abtub">#REF!</definedName>
    <definedName name="FAIXA" localSheetId="4">#REF!</definedName>
    <definedName name="FAIXA">#REF!</definedName>
    <definedName name="FAIXAAC" localSheetId="4">#REF!:INDIRECT(#REF!)</definedName>
    <definedName name="FAIXAAC">#REF!:INDIRECT(#REF!)</definedName>
    <definedName name="FAIXAAF" localSheetId="4">#REF!:INDIRECT(#REF!)</definedName>
    <definedName name="FAIXAAF">#REF!:INDIRECT(#REF!)</definedName>
    <definedName name="FAIXAAG">#REF!:INDIRECT(#REF!)</definedName>
    <definedName name="FAIXAAH">#REF!:INDIRECT(#REF!)</definedName>
    <definedName name="FAIXAAJ">#REF!:INDIRECT(#REF!)</definedName>
    <definedName name="FAIXAAM">#REF!:INDIRECT(#REF!)</definedName>
    <definedName name="FAIXACOD" localSheetId="4">#REF!</definedName>
    <definedName name="FAIXACOD">#REF!</definedName>
    <definedName name="FAIXACP" localSheetId="4">#REF!</definedName>
    <definedName name="FAIXACP">#REF!</definedName>
    <definedName name="FAIXACRON">#N/A</definedName>
    <definedName name="FAIXADFFQ" localSheetId="4">#REF!:INDIRECT(#REF!)</definedName>
    <definedName name="FAIXADFFQ">#REF!:INDIRECT(#REF!)</definedName>
    <definedName name="FAIXAFRGG">#REF!:INDIRECT(#REF!)</definedName>
    <definedName name="FAIXAGHGI" localSheetId="4">#REF!:INDIRECT(#REF!)</definedName>
    <definedName name="FAIXAGHGI">#REF!:INDIRECT(#REF!)</definedName>
    <definedName name="FAIXAGJGV">#REF!:INDIRECT(#REF!)</definedName>
    <definedName name="FAIXAGWHG">#REF!:INDIRECT(#REF!)</definedName>
    <definedName name="faixahe" localSheetId="4">#REF!</definedName>
    <definedName name="faixahe">#REF!</definedName>
    <definedName name="faixamod" localSheetId="4">#REF!</definedName>
    <definedName name="faixamod">#REF!</definedName>
    <definedName name="FAIXAMODCPU" localSheetId="4">#REF!</definedName>
    <definedName name="FAIXAMODCPU">#REF!</definedName>
    <definedName name="FAIXAPQR" localSheetId="4">#REF!:INDIRECT(#REF!)</definedName>
    <definedName name="FAIXAPQR">#REF!:INDIRECT(#REF!)</definedName>
    <definedName name="FAIXASALARIO" localSheetId="4">#REF!</definedName>
    <definedName name="FAIXASALARIO">#REF!</definedName>
    <definedName name="FAIXASV" localSheetId="4">#REF!:INDIRECT(#REF!)</definedName>
    <definedName name="FAIXASV">#REF!:INDIRECT(#REF!)</definedName>
    <definedName name="FAIXAWXY" localSheetId="4">#REF!:INDIRECT(#REF!)</definedName>
    <definedName name="FAIXAWXY">#REF!:INDIRECT(#REF!)</definedName>
    <definedName name="FALTAPROC" localSheetId="4">#REF!</definedName>
    <definedName name="FALTAPROC">#REF!</definedName>
    <definedName name="Fase_projeto" localSheetId="4">#REF!</definedName>
    <definedName name="Fase_projeto">#REF!</definedName>
    <definedName name="Fator">#REF!</definedName>
    <definedName name="Fax">#REF!</definedName>
    <definedName name="FAZP" localSheetId="4">#REF!</definedName>
    <definedName name="FAZP">#REF!</definedName>
    <definedName name="fcb">#REF!</definedName>
    <definedName name="FCode" hidden="1">#REF!</definedName>
    <definedName name="fdb">#REF!</definedName>
    <definedName name="FEC" localSheetId="4">#REF!</definedName>
    <definedName name="FEC">#REF!</definedName>
    <definedName name="FECCPUSEMCANT" localSheetId="4">#REF!</definedName>
    <definedName name="FECCPUSEMCANT">#REF!</definedName>
    <definedName name="FECTOTALCPU" localSheetId="4">#REF!</definedName>
    <definedName name="FECTOTALCPU">#REF!</definedName>
    <definedName name="feefef">#REF!</definedName>
    <definedName name="fegregtrtg"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gregtrt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Peso" localSheetId="4">#REF!</definedName>
    <definedName name="FEPeso">#REF!</definedName>
    <definedName name="FEVol" localSheetId="4">#REF!</definedName>
    <definedName name="FEVol">#REF!</definedName>
    <definedName name="FF" localSheetId="4">#REF!</definedName>
    <definedName name="FF">#REF!</definedName>
    <definedName name="fill" hidden="1">#REF!</definedName>
    <definedName name="filtragem" localSheetId="4" hidden="1">{#N/A,#N/A,FALSE,"GERAL";#N/A,#N/A,FALSE,"012-96";#N/A,#N/A,FALSE,"018-96";#N/A,#N/A,FALSE,"027-96";#N/A,#N/A,FALSE,"059-96";#N/A,#N/A,FALSE,"076-96";#N/A,#N/A,FALSE,"019-97";#N/A,#N/A,FALSE,"021-97";#N/A,#N/A,FALSE,"022-97";#N/A,#N/A,FALSE,"028-97"}</definedName>
    <definedName name="filtragem" hidden="1">{#N/A,#N/A,FALSE,"GERAL";#N/A,#N/A,FALSE,"012-96";#N/A,#N/A,FALSE,"018-96";#N/A,#N/A,FALSE,"027-96";#N/A,#N/A,FALSE,"059-96";#N/A,#N/A,FALSE,"076-96";#N/A,#N/A,FALSE,"019-97";#N/A,#N/A,FALSE,"021-97";#N/A,#N/A,FALSE,"022-97";#N/A,#N/A,FALSE,"028-97"}</definedName>
    <definedName name="FILTRO" localSheetId="4">#REF!</definedName>
    <definedName name="FILTRO">#REF!</definedName>
    <definedName name="FINA2" localSheetId="3">#REF!</definedName>
    <definedName name="FINA2">[4]TABELAS!#REF!</definedName>
    <definedName name="FINAL">#REF!</definedName>
    <definedName name="Finalizados" hidden="1">#REF!</definedName>
    <definedName name="FISICO" localSheetId="4">#REF!</definedName>
    <definedName name="FISICO" hidden="1">#REF!</definedName>
    <definedName name="FIX" localSheetId="4">#REF!</definedName>
    <definedName name="FIX">#REF!</definedName>
    <definedName name="fjrjrjrtj"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jrjrjrt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l.13">#REF!</definedName>
    <definedName name="flan10" localSheetId="4">#REF!</definedName>
    <definedName name="flan10">#REF!</definedName>
    <definedName name="flan12" localSheetId="4">#REF!</definedName>
    <definedName name="flan12">#REF!</definedName>
    <definedName name="flan14" localSheetId="4">#REF!</definedName>
    <definedName name="flan14">#REF!</definedName>
    <definedName name="flan1m" localSheetId="4">#REF!</definedName>
    <definedName name="flan1m">#REF!</definedName>
    <definedName name="flan2" localSheetId="4">#REF!</definedName>
    <definedName name="flan2">#REF!</definedName>
    <definedName name="flan3" localSheetId="4">#REF!</definedName>
    <definedName name="flan3">#REF!</definedName>
    <definedName name="flan4" localSheetId="4">#REF!</definedName>
    <definedName name="flan4">#REF!</definedName>
    <definedName name="flan6" localSheetId="4">#REF!</definedName>
    <definedName name="flan6">#REF!</definedName>
    <definedName name="flan8" localSheetId="4">#REF!</definedName>
    <definedName name="flan8">#REF!</definedName>
    <definedName name="FLOT" localSheetId="4" hidden="1">{#N/A,#N/A,FALSE,"GERAL";#N/A,#N/A,FALSE,"012-96";#N/A,#N/A,FALSE,"018-96";#N/A,#N/A,FALSE,"027-96";#N/A,#N/A,FALSE,"059-96";#N/A,#N/A,FALSE,"076-96";#N/A,#N/A,FALSE,"019-97";#N/A,#N/A,FALSE,"021-97";#N/A,#N/A,FALSE,"022-97";#N/A,#N/A,FALSE,"028-97"}</definedName>
    <definedName name="FLOT" hidden="1">{#N/A,#N/A,FALSE,"GERAL";#N/A,#N/A,FALSE,"012-96";#N/A,#N/A,FALSE,"018-96";#N/A,#N/A,FALSE,"027-96";#N/A,#N/A,FALSE,"059-96";#N/A,#N/A,FALSE,"076-96";#N/A,#N/A,FALSE,"019-97";#N/A,#N/A,FALSE,"021-97";#N/A,#N/A,FALSE,"022-97";#N/A,#N/A,FALSE,"028-97"}</definedName>
    <definedName name="FLU" localSheetId="4">#REF!</definedName>
    <definedName name="FLU">#REF!</definedName>
    <definedName name="FLU_4">#N/A</definedName>
    <definedName name="FLU_5">#N/A</definedName>
    <definedName name="FLUID">#REF!</definedName>
    <definedName name="FLUIDO">#REF!</definedName>
    <definedName name="Fluidos">#REF!</definedName>
    <definedName name="FLUTUANTE2" localSheetId="4" hidden="1">{#N/A,#N/A,FALSE,"GERAL";#N/A,#N/A,FALSE,"012-96";#N/A,#N/A,FALSE,"018-96";#N/A,#N/A,FALSE,"027-96";#N/A,#N/A,FALSE,"059-96";#N/A,#N/A,FALSE,"076-96";#N/A,#N/A,FALSE,"019-97";#N/A,#N/A,FALSE,"021-97";#N/A,#N/A,FALSE,"022-97";#N/A,#N/A,FALSE,"028-97"}</definedName>
    <definedName name="FLUTUANTE2" hidden="1">{#N/A,#N/A,FALSE,"GERAL";#N/A,#N/A,FALSE,"012-96";#N/A,#N/A,FALSE,"018-96";#N/A,#N/A,FALSE,"027-96";#N/A,#N/A,FALSE,"059-96";#N/A,#N/A,FALSE,"076-96";#N/A,#N/A,FALSE,"019-97";#N/A,#N/A,FALSE,"021-97";#N/A,#N/A,FALSE,"022-97";#N/A,#N/A,FALSE,"028-97"}</definedName>
    <definedName name="FLUX" localSheetId="4">#REF!</definedName>
    <definedName name="FLUX">#REF!</definedName>
    <definedName name="FLUXO" localSheetId="4">#REF!</definedName>
    <definedName name="FLUXO">#REF!</definedName>
    <definedName name="FOLHA" localSheetId="4">#REF!</definedName>
    <definedName name="FOLHA">#REF!</definedName>
    <definedName name="FORDSUM">#N/A</definedName>
    <definedName name="FORM4" localSheetId="4">#REF!</definedName>
    <definedName name="FORM4">#REF!</definedName>
    <definedName name="FORMAC" localSheetId="4">#REF!</definedName>
    <definedName name="FORMAC">#REF!</definedName>
    <definedName name="FORMAEQSEC" localSheetId="4">#REF!</definedName>
    <definedName name="FORMAEQSEC">#REF!</definedName>
    <definedName name="FORMAF" localSheetId="4">#REF!</definedName>
    <definedName name="FORMAF">#REF!</definedName>
    <definedName name="FORMAG" localSheetId="4">#REF!</definedName>
    <definedName name="FORMAG">#REF!</definedName>
    <definedName name="FORMAH" localSheetId="4">#REF!</definedName>
    <definedName name="FORMAH">#REF!</definedName>
    <definedName name="FORMAJ" localSheetId="4">#REF!</definedName>
    <definedName name="FORMAJ">#REF!</definedName>
    <definedName name="FORMAM" localSheetId="4">#REF!</definedName>
    <definedName name="FORMAM">#REF!</definedName>
    <definedName name="FORMAT_">#N/A</definedName>
    <definedName name="FORMAT_1">#N/A</definedName>
    <definedName name="FORMAT_2">#N/A</definedName>
    <definedName name="FORMATO" localSheetId="4">#REF!</definedName>
    <definedName name="FORMATO">#REF!</definedName>
    <definedName name="FORMCOD" localSheetId="4">#REF!</definedName>
    <definedName name="FORMCOD">#REF!</definedName>
    <definedName name="FORMDFFQ" localSheetId="4">#REF!</definedName>
    <definedName name="FORMDFFQ">#REF!</definedName>
    <definedName name="FORMGHGI" localSheetId="4">#REF!</definedName>
    <definedName name="FORMGHGI">#REF!</definedName>
    <definedName name="FORMGWHG" localSheetId="4">#REF!</definedName>
    <definedName name="FORMGWHG">#REF!</definedName>
    <definedName name="FORMHH" localSheetId="4">#REF!</definedName>
    <definedName name="FORMHH">#REF!</definedName>
    <definedName name="FORMHHAJUST" localSheetId="4">#REF!</definedName>
    <definedName name="FORMHHAJUST">#REF!</definedName>
    <definedName name="FORMHHCALC" localSheetId="4">#REF!</definedName>
    <definedName name="FORMHHCALC">#REF!</definedName>
    <definedName name="FORMHHCOD" localSheetId="4">#REF!</definedName>
    <definedName name="FORMHHCOD">#REF!</definedName>
    <definedName name="FORMINDSECAJUST" localSheetId="4">#REF!</definedName>
    <definedName name="FORMINDSECAJUST">#REF!</definedName>
    <definedName name="FORMPESOTOT" localSheetId="4">#REF!</definedName>
    <definedName name="FORMPESOTOT">#REF!</definedName>
    <definedName name="FORMPQ" localSheetId="4">#REF!</definedName>
    <definedName name="FORMPQ">#REF!</definedName>
    <definedName name="FORMPQR" localSheetId="4">#REF!</definedName>
    <definedName name="FORMPQR">#REF!</definedName>
    <definedName name="FORMPRTOTAL" localSheetId="4">#REF!</definedName>
    <definedName name="FORMPRTOTAL">#REF!</definedName>
    <definedName name="FORMQUANTEQUIP" localSheetId="4">#REF!</definedName>
    <definedName name="FORMQUANTEQUIP">#REF!</definedName>
    <definedName name="FORMQUANTMAT" localSheetId="4">#REF!</definedName>
    <definedName name="FORMQUANTMAT">#REF!</definedName>
    <definedName name="FORMSV" localSheetId="4">#REF!</definedName>
    <definedName name="FORMSV">#REF!</definedName>
    <definedName name="FORMULA">#REF!</definedName>
    <definedName name="Formulario">#REF!</definedName>
    <definedName name="FORMWXY" localSheetId="4">#REF!</definedName>
    <definedName name="FORMWXY">#REF!</definedName>
    <definedName name="fp_3" localSheetId="4">#REF!</definedName>
    <definedName name="fp_3">#REF!</definedName>
    <definedName name="fr" localSheetId="4">#REF!</definedName>
    <definedName name="fr">#REF!</definedName>
    <definedName name="FRETES" localSheetId="4">#REF!</definedName>
    <definedName name="FRETES">#REF!</definedName>
    <definedName name="fsadfasd"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adfasd"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dfsf" localSheetId="4" hidden="1">{#N/A,#N/A,FALSE,"GERAL";#N/A,#N/A,FALSE,"012-96";#N/A,#N/A,FALSE,"018-96";#N/A,#N/A,FALSE,"027-96";#N/A,#N/A,FALSE,"059-96";#N/A,#N/A,FALSE,"076-96";#N/A,#N/A,FALSE,"019-97";#N/A,#N/A,FALSE,"021-97";#N/A,#N/A,FALSE,"022-97";#N/A,#N/A,FALSE,"028-97"}</definedName>
    <definedName name="fsdfsf" hidden="1">{#N/A,#N/A,FALSE,"GERAL";#N/A,#N/A,FALSE,"012-96";#N/A,#N/A,FALSE,"018-96";#N/A,#N/A,FALSE,"027-96";#N/A,#N/A,FALSE,"059-96";#N/A,#N/A,FALSE,"076-96";#N/A,#N/A,FALSE,"019-97";#N/A,#N/A,FALSE,"021-97";#N/A,#N/A,FALSE,"022-97";#N/A,#N/A,FALSE,"028-97"}</definedName>
    <definedName name="FSTATUS">#REF!</definedName>
    <definedName name="FSTATUS2">#REF!</definedName>
    <definedName name="FSTATUS4">#REF!</definedName>
    <definedName name="fun.comissionamento">#REF!</definedName>
    <definedName name="fun.cristiano">#REF!</definedName>
    <definedName name="fun.ferias">#REF!</definedName>
    <definedName name="fun.inss">#REF!</definedName>
    <definedName name="fun.modii">#REF!</definedName>
    <definedName name="fun.moi">#REF!</definedName>
    <definedName name="FUNC">#N/A</definedName>
    <definedName name="funcoes">#REF!</definedName>
    <definedName name="FUNGER">#N/A</definedName>
    <definedName name="FUNX">#N/A</definedName>
    <definedName name="FXPED" localSheetId="4">#REF!</definedName>
    <definedName name="FXPED">#REF!</definedName>
    <definedName name="fxtes" localSheetId="4">#REF!</definedName>
    <definedName name="fxtes">#REF!</definedName>
    <definedName name="G" localSheetId="2">#REF!</definedName>
    <definedName name="G" localSheetId="3">#REF!</definedName>
    <definedName name="G" localSheetId="0">#REF!</definedName>
    <definedName name="g" localSheetId="4">ANEXO IVA 'DISTR-FIN'!MAT DE #REF!</definedName>
    <definedName name="G">#REF!</definedName>
    <definedName name="Gemop" localSheetId="3" hidden="1">{#N/A,#N/A,TRUE,"indice";#N/A,#N/A,TRUE,"indicadores";#N/A,#N/A,TRUE,"comentarios"}</definedName>
    <definedName name="Gemop" hidden="1">{#N/A,#N/A,TRUE,"indice";#N/A,#N/A,TRUE,"indicadores";#N/A,#N/A,TRUE,"comentarios"}</definedName>
    <definedName name="GERAL" localSheetId="4">#REF!</definedName>
    <definedName name="GERAL">#REF!</definedName>
    <definedName name="Gerências" localSheetId="4">#REF!</definedName>
    <definedName name="Gerências">#REF!</definedName>
    <definedName name="GERVAL">#N/A</definedName>
    <definedName name="getep" localSheetId="3" hidden="1">{#N/A,#N/A,TRUE,"indice";#N/A,#N/A,TRUE,"indicadores";#N/A,#N/A,TRUE,"comentarios"}</definedName>
    <definedName name="getep" hidden="1">{#N/A,#N/A,TRUE,"indice";#N/A,#N/A,TRUE,"indicadores";#N/A,#N/A,TRUE,"comentarios"}</definedName>
    <definedName name="gewgwgw" localSheetId="4">#REF!</definedName>
    <definedName name="gewgwgw">#REF!</definedName>
    <definedName name="GFMHGMJY" hidden="1">#REF!</definedName>
    <definedName name="gg"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oToCMChurnChart" localSheetId="3">CTRL_SS!GoToCMChurnChart</definedName>
    <definedName name="GoToCMChurnChart" localSheetId="4">#N/A</definedName>
    <definedName name="GoToCMChurnChart">[0]!GoToCMChurnChart</definedName>
    <definedName name="GoToCPIChart" localSheetId="3">CTRL_SS!GoToCPIChart</definedName>
    <definedName name="GoToCPIChart" localSheetId="4">#N/A</definedName>
    <definedName name="GoToCPIChart">[0]!GoToCPIChart</definedName>
    <definedName name="GoToDefectsChart" localSheetId="3">CTRL_SS!GoToDefectsChart</definedName>
    <definedName name="GoToDefectsChart" localSheetId="4">#N/A</definedName>
    <definedName name="GoToDefectsChart">[0]!GoToDefectsChart</definedName>
    <definedName name="GoToEVChart" localSheetId="3">CTRL_SS!GoToEVChart</definedName>
    <definedName name="GoToEVChart" localSheetId="4">#N/A</definedName>
    <definedName name="GoToEVChart">[0]!GoToEVChart</definedName>
    <definedName name="GoToOvertimeChart" localSheetId="3">CTRL_SS!GoToOvertimeChart</definedName>
    <definedName name="GoToOvertimeChart" localSheetId="4">#N/A</definedName>
    <definedName name="GoToOvertimeChart">[0]!GoToOvertimeChart</definedName>
    <definedName name="GoToRequirementsChangeChart" localSheetId="3">CTRL_SS!GoToRequirementsChangeChart</definedName>
    <definedName name="GoToRequirementsChangeChart" localSheetId="4">#N/A</definedName>
    <definedName name="GoToRequirementsChangeChart">[0]!GoToRequirementsChangeChart</definedName>
    <definedName name="GoToRiskChart" localSheetId="3">CTRL_SS!GoToRiskChart</definedName>
    <definedName name="GoToRiskChart" localSheetId="4">#N/A</definedName>
    <definedName name="GoToRiskChart">[0]!GoToRiskChart</definedName>
    <definedName name="GoToVolTurnChart" localSheetId="3">CTRL_SS!GoToVolTurnChart</definedName>
    <definedName name="GoToVolTurnChart" localSheetId="4">#N/A</definedName>
    <definedName name="GoToVolTurnChart">[0]!GoToVolTurnChart</definedName>
    <definedName name="_xlnm.Recorder" localSheetId="4">#REF!</definedName>
    <definedName name="_xlnm.Recorder">#REF!</definedName>
    <definedName name="GREETING">#REF!</definedName>
    <definedName name="grt">#REF!</definedName>
    <definedName name="grtgert" localSheetId="3" hidden="1">{#N/A,#N/A,TRUE,"indice";#N/A,#N/A,TRUE,"indicadores";#N/A,#N/A,TRUE,"comentarios"}</definedName>
    <definedName name="grtgert" hidden="1">{#N/A,#N/A,TRUE,"indice";#N/A,#N/A,TRUE,"indicadores";#N/A,#N/A,TRUE,"comentarios"}</definedName>
    <definedName name="GT" localSheetId="4" hidden="1">{#N/A,#N/A,FALSE,"GERAL";#N/A,#N/A,FALSE,"012-96";#N/A,#N/A,FALSE,"018-96";#N/A,#N/A,FALSE,"027-96";#N/A,#N/A,FALSE,"059-96";#N/A,#N/A,FALSE,"076-96";#N/A,#N/A,FALSE,"019-97";#N/A,#N/A,FALSE,"021-97";#N/A,#N/A,FALSE,"022-97";#N/A,#N/A,FALSE,"028-97"}</definedName>
    <definedName name="GT" hidden="1">{#N/A,#N/A,FALSE,"GERAL";#N/A,#N/A,FALSE,"012-96";#N/A,#N/A,FALSE,"018-96";#N/A,#N/A,FALSE,"027-96";#N/A,#N/A,FALSE,"059-96";#N/A,#N/A,FALSE,"076-96";#N/A,#N/A,FALSE,"019-97";#N/A,#N/A,FALSE,"021-97";#N/A,#N/A,FALSE,"022-97";#N/A,#N/A,FALSE,"028-97"}</definedName>
    <definedName name="GTD" localSheetId="3">ANEXO IVA [0]!MAT DE #REF!</definedName>
    <definedName name="GTD" localSheetId="4">ANEXO IVA 'DISTR-FIN'!MAT DE #REF!</definedName>
    <definedName name="GTD">ANEXO IVA MAT DE #REF!</definedName>
    <definedName name="GTDX" localSheetId="3">ANEXO IVA [0]!MAT DE #REF!</definedName>
    <definedName name="GTDX" localSheetId="4">ANEXO IVA 'DISTR-FIN'!MAT DE #REF!</definedName>
    <definedName name="GTDX">ANEXO IVA MAT DE #REF!</definedName>
    <definedName name="gvgg"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vg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bfghfgh"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bfghfg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EUNIT" localSheetId="4">#REF!</definedName>
    <definedName name="HEUNIT">#REF!</definedName>
    <definedName name="hh">#REF!</definedName>
    <definedName name="HHAJUSTCOL" localSheetId="4">#REF!</definedName>
    <definedName name="HHAJUSTCOL">#REF!</definedName>
    <definedName name="HHCALCCOL" localSheetId="4">#REF!</definedName>
    <definedName name="HHCALCCOL">#REF!</definedName>
    <definedName name="HHCALCUL" localSheetId="4">#REF!</definedName>
    <definedName name="HHCALCUL">#REF!</definedName>
    <definedName name="HHCIVIL" localSheetId="4">#REF!</definedName>
    <definedName name="HHCIVIL">#REF!</definedName>
    <definedName name="HHCIVIL_23" localSheetId="4">#REF!</definedName>
    <definedName name="HHCIVIL_23">#REF!</definedName>
    <definedName name="HHCIVIL_24" localSheetId="4">#REF!</definedName>
    <definedName name="HHCIVIL_24">#REF!</definedName>
    <definedName name="HHCIVIL_25" localSheetId="4">#REF!</definedName>
    <definedName name="HHCIVIL_25">#REF!</definedName>
    <definedName name="HHCIVIL_26" localSheetId="4">#REF!</definedName>
    <definedName name="HHCIVIL_26">#REF!</definedName>
    <definedName name="HHCOM" localSheetId="4">#REF!</definedName>
    <definedName name="HHCOM">#REF!</definedName>
    <definedName name="HHEL" localSheetId="4">#REF!</definedName>
    <definedName name="HHEL">#REF!</definedName>
    <definedName name="HHEL_15" localSheetId="4">#REF!</definedName>
    <definedName name="HHEL_15">#REF!</definedName>
    <definedName name="HHEL_16" localSheetId="4">#REF!</definedName>
    <definedName name="HHEL_16">#REF!</definedName>
    <definedName name="HHEL_17" localSheetId="4">#REF!</definedName>
    <definedName name="HHEL_17">#REF!</definedName>
    <definedName name="HHEL_18" localSheetId="4">#REF!</definedName>
    <definedName name="HHEL_18">#REF!</definedName>
    <definedName name="HHEL_19" localSheetId="4">#REF!</definedName>
    <definedName name="HHEL_19">#REF!</definedName>
    <definedName name="HHEL_20" localSheetId="4">#REF!</definedName>
    <definedName name="HHEL_20">#REF!</definedName>
    <definedName name="HHEL_21" localSheetId="4">#REF!</definedName>
    <definedName name="HHEL_21">#REF!</definedName>
    <definedName name="HHEL_23" localSheetId="4">#REF!</definedName>
    <definedName name="HHEL_23">#REF!</definedName>
    <definedName name="HHEL_24" localSheetId="4">#REF!</definedName>
    <definedName name="HHEL_24">#REF!</definedName>
    <definedName name="HHEL_25" localSheetId="4">#REF!</definedName>
    <definedName name="HHEL_25">#REF!</definedName>
    <definedName name="HHEL_26" localSheetId="4">#REF!</definedName>
    <definedName name="HHEL_26">#REF!</definedName>
    <definedName name="HHEL_3" localSheetId="4">#REF!</definedName>
    <definedName name="HHEL_3">#REF!</definedName>
    <definedName name="HHEL_33" localSheetId="4">#REF!</definedName>
    <definedName name="HHEL_33">#REF!</definedName>
    <definedName name="HHEL_4" localSheetId="4">#REF!</definedName>
    <definedName name="HHEL_4">#REF!</definedName>
    <definedName name="HHELÉT" localSheetId="4">#REF!</definedName>
    <definedName name="HHELÉT">#REF!</definedName>
    <definedName name="HHELETRICA" localSheetId="4">#REF!</definedName>
    <definedName name="HHELETRICA">#REF!</definedName>
    <definedName name="HHFUN1" localSheetId="4">#REF!</definedName>
    <definedName name="HHFUN1">#REF!</definedName>
    <definedName name="HHFUN10" localSheetId="4">#REF!</definedName>
    <definedName name="HHFUN10">#REF!</definedName>
    <definedName name="HHFUN11" localSheetId="4">#REF!</definedName>
    <definedName name="HHFUN11">#REF!</definedName>
    <definedName name="HHFUN13" localSheetId="4">#REF!</definedName>
    <definedName name="HHFUN13">#REF!</definedName>
    <definedName name="HHFUN16" localSheetId="4">#REF!</definedName>
    <definedName name="HHFUN16">#REF!</definedName>
    <definedName name="HHFUN17" localSheetId="4">#REF!</definedName>
    <definedName name="HHFUN17">#REF!</definedName>
    <definedName name="HHFUN21" localSheetId="4">#REF!</definedName>
    <definedName name="HHFUN21">#REF!</definedName>
    <definedName name="HHFUN23" localSheetId="4">#REF!</definedName>
    <definedName name="HHFUN23">#REF!</definedName>
    <definedName name="HHFUN24" localSheetId="4">#REF!</definedName>
    <definedName name="HHFUN24">#REF!</definedName>
    <definedName name="HHFUN28" localSheetId="4">#REF!</definedName>
    <definedName name="HHFUN28">#REF!</definedName>
    <definedName name="HHFUN29" localSheetId="4">#REF!</definedName>
    <definedName name="HHFUN29">#REF!</definedName>
    <definedName name="HHFUN32" localSheetId="4">#REF!</definedName>
    <definedName name="HHFUN32">#REF!</definedName>
    <definedName name="HHFUN35" localSheetId="4">#REF!</definedName>
    <definedName name="HHFUN35">#REF!</definedName>
    <definedName name="HHFUN36" localSheetId="4">#REF!</definedName>
    <definedName name="HHFUN36">#REF!</definedName>
    <definedName name="HHFUN37" localSheetId="4">#REF!</definedName>
    <definedName name="HHFUN37">#REF!</definedName>
    <definedName name="HHFUN41" localSheetId="4">#REF!</definedName>
    <definedName name="HHFUN41">#REF!</definedName>
    <definedName name="HHFUN42" localSheetId="4">#REF!</definedName>
    <definedName name="HHFUN42">#REF!</definedName>
    <definedName name="HHFUN43" localSheetId="4">#REF!</definedName>
    <definedName name="HHFUN43">#REF!</definedName>
    <definedName name="HHFUN44" localSheetId="4">#REF!</definedName>
    <definedName name="HHFUN44">#REF!</definedName>
    <definedName name="HHFUN46" localSheetId="4">#REF!</definedName>
    <definedName name="HHFUN46">#REF!</definedName>
    <definedName name="HHFUN47" localSheetId="4">#REF!</definedName>
    <definedName name="HHFUN47">#REF!</definedName>
    <definedName name="HHFUN49" localSheetId="4">#REF!</definedName>
    <definedName name="HHFUN49">#REF!</definedName>
    <definedName name="HHFUN50" localSheetId="4">#REF!</definedName>
    <definedName name="HHFUN50">#REF!</definedName>
    <definedName name="HHFUN55" localSheetId="4">#REF!</definedName>
    <definedName name="HHFUN55">#REF!</definedName>
    <definedName name="HHFUN60" localSheetId="4">#REF!</definedName>
    <definedName name="HHFUN60">#REF!</definedName>
    <definedName name="HHFUN62" localSheetId="4">#REF!</definedName>
    <definedName name="HHFUN62">#REF!</definedName>
    <definedName name="HHFUN65" localSheetId="4">#REF!</definedName>
    <definedName name="HHFUN65">#REF!</definedName>
    <definedName name="HHFUN66" localSheetId="4">#REF!</definedName>
    <definedName name="HHFUN66">#REF!</definedName>
    <definedName name="HHFUN68" localSheetId="4">#REF!</definedName>
    <definedName name="HHFUN68">#REF!</definedName>
    <definedName name="HHFUN8" localSheetId="4">#REF!</definedName>
    <definedName name="HHFUN8">#REF!</definedName>
    <definedName name="hhgfgfg"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gfgf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hhh" localSheetId="3">#REF!</definedName>
    <definedName name="hhhhh">#REF!</definedName>
    <definedName name="HHINST" localSheetId="4">#REF!</definedName>
    <definedName name="HHINST">#REF!</definedName>
    <definedName name="HHMEC" localSheetId="4">#REF!</definedName>
    <definedName name="HHMEC">#REF!</definedName>
    <definedName name="HHMEC_15" localSheetId="4">#REF!</definedName>
    <definedName name="HHMEC_15">#REF!</definedName>
    <definedName name="HHMEC_16" localSheetId="4">#REF!</definedName>
    <definedName name="HHMEC_16">#REF!</definedName>
    <definedName name="HHMEC_17" localSheetId="4">#REF!</definedName>
    <definedName name="HHMEC_17">#REF!</definedName>
    <definedName name="HHMEC_18" localSheetId="4">#REF!</definedName>
    <definedName name="HHMEC_18">#REF!</definedName>
    <definedName name="HHMEC_19" localSheetId="4">#REF!</definedName>
    <definedName name="HHMEC_19">#REF!</definedName>
    <definedName name="HHMEC_20" localSheetId="4">#REF!</definedName>
    <definedName name="HHMEC_20">#REF!</definedName>
    <definedName name="HHMEC_21" localSheetId="4">#REF!</definedName>
    <definedName name="HHMEC_21">#REF!</definedName>
    <definedName name="HHMEC_23" localSheetId="4">#REF!</definedName>
    <definedName name="HHMEC_23">#REF!</definedName>
    <definedName name="HHMEC_24" localSheetId="4">#REF!</definedName>
    <definedName name="HHMEC_24">#REF!</definedName>
    <definedName name="HHMEC_25" localSheetId="4">#REF!</definedName>
    <definedName name="HHMEC_25">#REF!</definedName>
    <definedName name="HHMEC_26" localSheetId="4">#REF!</definedName>
    <definedName name="HHMEC_26">#REF!</definedName>
    <definedName name="HHMEC_3" localSheetId="4">#REF!</definedName>
    <definedName name="HHMEC_3">#REF!</definedName>
    <definedName name="HHMEC_33" localSheetId="4">#REF!</definedName>
    <definedName name="HHMEC_33">#REF!</definedName>
    <definedName name="HHMEC_4" localSheetId="4">#REF!</definedName>
    <definedName name="HHMEC_4">#REF!</definedName>
    <definedName name="HHPERELMECCAL">#N/A</definedName>
    <definedName name="HHPINT" localSheetId="4">#REF!</definedName>
    <definedName name="HHPINT">#REF!</definedName>
    <definedName name="HHPINTU" localSheetId="4">#REF!</definedName>
    <definedName name="HHPINTU">#REF!</definedName>
    <definedName name="HHPRE" localSheetId="4">#REF!</definedName>
    <definedName name="HHPRE">#REF!</definedName>
    <definedName name="HHPROJ" localSheetId="4">#REF!</definedName>
    <definedName name="HHPROJ">#REF!</definedName>
    <definedName name="HHTERRA" localSheetId="4">#REF!</definedName>
    <definedName name="HHTERRA">#REF!</definedName>
    <definedName name="HHTOTCAL">#N/A</definedName>
    <definedName name="HHTOTLIN">#N/A</definedName>
    <definedName name="HHTOTRES">#N/A</definedName>
    <definedName name="HiddenRows" hidden="1">#REF!</definedName>
    <definedName name="hidro" localSheetId="4">#REF!</definedName>
    <definedName name="hidro">#REF!</definedName>
    <definedName name="Hilfetext">"Bearbeitungsfeld 20"</definedName>
    <definedName name="histrevisada" hidden="1">#REF!</definedName>
    <definedName name="Hospedagem">#REF!</definedName>
    <definedName name="HPC" localSheetId="4">#REF!</definedName>
    <definedName name="HPC">#REF!</definedName>
    <definedName name="hrfghre"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rfghre"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rher" localSheetId="4">#REF!</definedName>
    <definedName name="hrher">#REF!</definedName>
    <definedName name="hrs_per_day">#REF!</definedName>
    <definedName name="HTML_CodePage" hidden="1">1252</definedName>
    <definedName name="HTML_Control" localSheetId="3" hidden="1">{"'IndicadoresRH'!$AA$50:$AP$67"}</definedName>
    <definedName name="HTML_Control" hidden="1">{"'IndicadoresRH'!$AA$50:$AP$67"}</definedName>
    <definedName name="HTML_Description" hidden="1">""</definedName>
    <definedName name="HTML_Email" hidden="1">""</definedName>
    <definedName name="HTML_Header" hidden="1">"Contrato 3072/03"</definedName>
    <definedName name="HTML_LastUpdate" hidden="1">"08/06/04"</definedName>
    <definedName name="HTML_LineAfter" hidden="1">FALSE</definedName>
    <definedName name="HTML_LineBefore" hidden="1">FALSE</definedName>
    <definedName name="HTML_Name" hidden="1">"Paulo"</definedName>
    <definedName name="HTML_OBDlg2" hidden="1">TRUE</definedName>
    <definedName name="HTML_OBDlg4" hidden="1">TRUE</definedName>
    <definedName name="HTML_OS" hidden="1">0</definedName>
    <definedName name="HTML_PathFile" hidden="1">"C:\Meus documentos\MeuHTML.htm"</definedName>
    <definedName name="HTML_Title" hidden="1">"Controle Gerencial"</definedName>
    <definedName name="i" localSheetId="3">#REF!</definedName>
    <definedName name="i" localSheetId="4">#REF!</definedName>
    <definedName name="i">#REF!</definedName>
    <definedName name="i_23" localSheetId="4">#REF!</definedName>
    <definedName name="i_23">#REF!</definedName>
    <definedName name="i_24" localSheetId="4">#REF!</definedName>
    <definedName name="i_24">#REF!</definedName>
    <definedName name="i_25" localSheetId="4">#REF!</definedName>
    <definedName name="i_25">#REF!</definedName>
    <definedName name="i_26" localSheetId="4">#REF!</definedName>
    <definedName name="i_26">#REF!</definedName>
    <definedName name="ICMS" localSheetId="4">#REF!</definedName>
    <definedName name="ICMS">#REF!</definedName>
    <definedName name="II" localSheetId="4">#REF!</definedName>
    <definedName name="II">#REF!</definedName>
    <definedName name="ILUM" localSheetId="4">#REF!</definedName>
    <definedName name="ILUM">#REF!</definedName>
    <definedName name="Imagem" localSheetId="4">INDIRECT("Referência!$A$"&amp;VLOOKUP(#REF!,#REF!,2,0))</definedName>
    <definedName name="Imagem">INDIRECT("Referência!$A$"&amp;VLOOKUP(#REF!,#REF!,2,0))</definedName>
    <definedName name="IMP_03">#REF!</definedName>
    <definedName name="IMPCRON1">#N/A</definedName>
    <definedName name="IMPOSTO" localSheetId="4">#REF!</definedName>
    <definedName name="IMPOSTO">#REF!</definedName>
    <definedName name="IMPRIMIR">#N/A</definedName>
    <definedName name="improdutividade">#REF!</definedName>
    <definedName name="INCIVIL">#N/A</definedName>
    <definedName name="IND" localSheetId="4">#REF!</definedName>
    <definedName name="IND">#REF!</definedName>
    <definedName name="INDICES">#REF!</definedName>
    <definedName name="INDSEC" localSheetId="4">#REF!</definedName>
    <definedName name="INDSEC">#REF!</definedName>
    <definedName name="INDSECAJUSTCOL" localSheetId="4">#REF!</definedName>
    <definedName name="INDSECAJUSTCOL">#REF!</definedName>
    <definedName name="inf" localSheetId="3">#REF!</definedName>
    <definedName name="inf">'[6]Orçamento Global'!$D$38</definedName>
    <definedName name="InhaltsvezSUMMEN">#REF!</definedName>
    <definedName name="INICAL">#N/A</definedName>
    <definedName name="INICDISC">#N/A</definedName>
    <definedName name="INICIO">#N/A</definedName>
    <definedName name="INICIVIL">#N/A</definedName>
    <definedName name="INICPRAZ" localSheetId="4">#REF!</definedName>
    <definedName name="INICPRAZ">#REF!</definedName>
    <definedName name="INIEI">#N/A</definedName>
    <definedName name="INIEM">#N/A</definedName>
    <definedName name="INIGER">#N/A</definedName>
    <definedName name="INIJP">#N/A</definedName>
    <definedName name="INIMEC">#N/A</definedName>
    <definedName name="INITUB">#N/A</definedName>
    <definedName name="INSS" localSheetId="4">#REF!</definedName>
    <definedName name="INSS">#REF!</definedName>
    <definedName name="Insumos">#REF!</definedName>
    <definedName name="INTE" localSheetId="4">#REF!</definedName>
    <definedName name="INTE">#REF!</definedName>
    <definedName name="IObject.Name">#REF!</definedName>
    <definedName name="IPI" localSheetId="4">#REF!</definedName>
    <definedName name="IPI">#REF!</definedName>
    <definedName name="ISPFDocument.SPFTitle">#REF!</definedName>
    <definedName name="ISS">#REF!</definedName>
    <definedName name="Issued_For">#REF!</definedName>
    <definedName name="IT">#REF!</definedName>
    <definedName name="item">#REF!</definedName>
    <definedName name="item1" localSheetId="3">#REF!</definedName>
    <definedName name="ITEM1" localSheetId="4">#REF!</definedName>
    <definedName name="item1">[7]Plan1!$J$13</definedName>
    <definedName name="ITEM10" localSheetId="4">#REF!</definedName>
    <definedName name="ITEM10">#REF!</definedName>
    <definedName name="ITEM11" localSheetId="4">#REF!</definedName>
    <definedName name="ITEM11">#REF!</definedName>
    <definedName name="Item15">#REF!</definedName>
    <definedName name="Item16">#REF!</definedName>
    <definedName name="Item17">#REF!</definedName>
    <definedName name="Item18">#REF!</definedName>
    <definedName name="Item19">#REF!</definedName>
    <definedName name="ITEM2" localSheetId="4">#REF!</definedName>
    <definedName name="ITEM2">#REF!</definedName>
    <definedName name="item3" localSheetId="3">#REF!</definedName>
    <definedName name="ITEM3" localSheetId="4">#REF!</definedName>
    <definedName name="item3">[7]Plan1!$J$30</definedName>
    <definedName name="item4" localSheetId="3">#REF!</definedName>
    <definedName name="ITEM4" localSheetId="4">#REF!</definedName>
    <definedName name="item4">[7]Plan1!$J$39</definedName>
    <definedName name="ITEM5" localSheetId="4">#REF!</definedName>
    <definedName name="ITEM5">#REF!</definedName>
    <definedName name="ITEM6" localSheetId="4">#REF!</definedName>
    <definedName name="ITEM6">#REF!</definedName>
    <definedName name="ITEM7" localSheetId="4">#REF!</definedName>
    <definedName name="ITEM7">#REF!</definedName>
    <definedName name="ITEM8" localSheetId="4">#REF!</definedName>
    <definedName name="ITEM8">#REF!</definedName>
    <definedName name="ITEM9" localSheetId="4">#REF!</definedName>
    <definedName name="ITEM9">#REF!</definedName>
    <definedName name="ITEMFIS">#N/A</definedName>
    <definedName name="ITENSLC116" localSheetId="4">#REF!</definedName>
    <definedName name="ITENSLC116">#REF!</definedName>
    <definedName name="J">#N/A</definedName>
    <definedName name="jornadaeng" localSheetId="4">#REF!</definedName>
    <definedName name="jornadaeng">#REF!</definedName>
    <definedName name="jornadames" localSheetId="4">#REF!</definedName>
    <definedName name="jornadames">#REF!</definedName>
    <definedName name="jornadamesesp" localSheetId="4">#REF!</definedName>
    <definedName name="jornadamesesp">#REF!</definedName>
    <definedName name="JP" localSheetId="4">#REF!</definedName>
    <definedName name="JP" comment="jornada programada">#REF!</definedName>
    <definedName name="jryhjtry"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ryhjtr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T_LOCAÇÃO_E_SERVIÇOS">#REF!</definedName>
    <definedName name="jythjty"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ythjt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 localSheetId="4">#REF!</definedName>
    <definedName name="K">#REF!</definedName>
    <definedName name="k1mc">#REF!</definedName>
    <definedName name="k1tc">#REF!</definedName>
    <definedName name="k2mc">#REF!</definedName>
    <definedName name="k2tc">#REF!</definedName>
    <definedName name="k3tc">#REF!</definedName>
    <definedName name="k4mc">#REF!</definedName>
    <definedName name="k4tc">#REF!</definedName>
    <definedName name="khtykfh"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htykf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uy"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u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jgfkjg" hidden="1">#REF!</definedName>
    <definedName name="koae">#REF!</definedName>
    <definedName name="kpavi">#REF!</definedName>
    <definedName name="KTABEQ">#N/A</definedName>
    <definedName name="kterra">#REF!</definedName>
    <definedName name="LA" localSheetId="4">#REF!</definedName>
    <definedName name="LA">#REF!</definedName>
    <definedName name="Labor_Class">#REF!</definedName>
    <definedName name="laerte" localSheetId="3">ANEXO IVA [0]!MAT DE #REF!</definedName>
    <definedName name="laerte" localSheetId="4">ANEXO IVA 'DISTR-FIN'!MAT DE #REF!</definedName>
    <definedName name="laerte">ANEXO IVA MAT DE #REF!</definedName>
    <definedName name="LALA" localSheetId="4">#REF!</definedName>
    <definedName name="LALA">#REF!</definedName>
    <definedName name="LASER">#REF!</definedName>
    <definedName name="LE" localSheetId="4">#REF!</definedName>
    <definedName name="LE">#REF!</definedName>
    <definedName name="LEIS">#REF!</definedName>
    <definedName name="LI">#REF!</definedName>
    <definedName name="LIA">#REF!</definedName>
    <definedName name="LIB">#REF!</definedName>
    <definedName name="limcount" hidden="1">1</definedName>
    <definedName name="LIMPA">#N/A</definedName>
    <definedName name="LIMPACRECEQUIP" localSheetId="4">#REF!</definedName>
    <definedName name="LIMPACRECEQUIP">#REF!</definedName>
    <definedName name="LIMPARDADOS" localSheetId="4">#REF!</definedName>
    <definedName name="LIMPARDADOS">#REF!</definedName>
    <definedName name="LIMPATELAS">#N/A</definedName>
    <definedName name="LINE">#N/A</definedName>
    <definedName name="liq_2">#REF!</definedName>
    <definedName name="liq_3">#REF!</definedName>
    <definedName name="LIQUID">#REF!</definedName>
    <definedName name="lista" localSheetId="4">#REF!</definedName>
    <definedName name="Lista">OFFSET(#REF!,0,0,COUNTIF(#REF!,"?*"),1)</definedName>
    <definedName name="lista_unidade">#REF!</definedName>
    <definedName name="ListaADM">#REF!</definedName>
    <definedName name="ListaAlmox">#REF!</definedName>
    <definedName name="ListaAuxGerais">#REF!</definedName>
    <definedName name="ListaEletricista">OFFSET(#REF!,0,0,COUNTIF(#REF!,"?*"),1)</definedName>
    <definedName name="ListaEncElet">#REF!</definedName>
    <definedName name="ListaEncInst">#REF!</definedName>
    <definedName name="ListaEngElet">#REF!</definedName>
    <definedName name="ListaEquipeInst">OFFSET(#REF!,0,0,COUNTIF(#REF!,"?*"),1)</definedName>
    <definedName name="ListaEquipeTotal">OFFSET(#REF!,0,0,COUNTIF(#REF!,"?*"),1)</definedName>
    <definedName name="ListaFormulario" localSheetId="4">#REF!</definedName>
    <definedName name="ListaFormulario">#REF!</definedName>
    <definedName name="ListaMat">OFFSET(#REF!,0,0,COUNTIF(#REF!,"?*"),1)</definedName>
    <definedName name="ListaPreposto">#REF!</definedName>
    <definedName name="ListaSupElet">#REF!</definedName>
    <definedName name="ListaSupInsta">#REF!</definedName>
    <definedName name="ListaTecElet">OFFSET(#REF!,0,0,COUNTIF(#REF!,"?*"),1)</definedName>
    <definedName name="ListaTecInst">OFFSET(#REF!,0,0,COUNTIF(#REF!,"?*"),1)</definedName>
    <definedName name="ListaTecMat">#REF!</definedName>
    <definedName name="ListaTecplan">#REF!</definedName>
    <definedName name="ListaTecSeg">#REF!</definedName>
    <definedName name="ListaTubista">#REF!</definedName>
    <definedName name="LISTVIEW_START">#REF!</definedName>
    <definedName name="LL">#N/A</definedName>
    <definedName name="llllllllll" localSheetId="4">#REF!</definedName>
    <definedName name="llllllllll">#REF!</definedName>
    <definedName name="Local" localSheetId="4">#REF!</definedName>
    <definedName name="Local">#REF!</definedName>
    <definedName name="lstMotivos">#REF!</definedName>
    <definedName name="Lucro_sobre_faturamento">#REF!</definedName>
    <definedName name="LUP">#N/A</definedName>
    <definedName name="LUPENT">#N/A</definedName>
    <definedName name="M" localSheetId="4">#REF!</definedName>
    <definedName name="M">#REF!</definedName>
    <definedName name="Macro1">#N/A</definedName>
    <definedName name="Macro2">#N/A</definedName>
    <definedName name="Macro3">#N/A</definedName>
    <definedName name="MACROS">#REF!</definedName>
    <definedName name="MAO" localSheetId="4">#REF!</definedName>
    <definedName name="MAO">#REF!</definedName>
    <definedName name="MAODEOBRA" localSheetId="4">#REF!</definedName>
    <definedName name="MAODEOBRA">#REF!</definedName>
    <definedName name="Margem_para_negociação_com_compras">#REF!</definedName>
    <definedName name="MAT" localSheetId="4">#REF!</definedName>
    <definedName name="MAT">#N/A</definedName>
    <definedName name="Mat_Fator" localSheetId="4">#REF!</definedName>
    <definedName name="Mat_Fator">#REF!</definedName>
    <definedName name="Mat_Requerido" localSheetId="4">#REF!</definedName>
    <definedName name="Mat_Requerido">#REF!</definedName>
    <definedName name="Mat0" localSheetId="4">#REF!</definedName>
    <definedName name="Mat0">#REF!</definedName>
    <definedName name="MATCOUNIT" localSheetId="4">#REF!</definedName>
    <definedName name="MATCOUNIT">#REF!</definedName>
    <definedName name="MATER" localSheetId="4">#REF!</definedName>
    <definedName name="MATER">#REF!</definedName>
    <definedName name="Materiais">#REF!</definedName>
    <definedName name="MATERIAL" localSheetId="4">#REF!</definedName>
    <definedName name="MATERIAL">#REF!</definedName>
    <definedName name="MATPEUNIT" localSheetId="4">#REF!</definedName>
    <definedName name="MATPEUNIT">#REF!</definedName>
    <definedName name="MATSEMP" localSheetId="4">#REF!</definedName>
    <definedName name="MATSEMP">#REF!</definedName>
    <definedName name="MC1201_" localSheetId="4">#REF!</definedName>
    <definedName name="MC1201_">#REF!</definedName>
    <definedName name="MC2207_" localSheetId="4">#REF!</definedName>
    <definedName name="MC2207_">#REF!</definedName>
    <definedName name="MDO" localSheetId="4">#REF!</definedName>
    <definedName name="MDO">#REF!</definedName>
    <definedName name="MEC" localSheetId="4">#REF!</definedName>
    <definedName name="MEC">#REF!</definedName>
    <definedName name="MECÂNICA" localSheetId="4">#REF!</definedName>
    <definedName name="MECÂNICA">#REF!</definedName>
    <definedName name="MEIO_FIO">#REF!</definedName>
    <definedName name="MENOS">#REF!</definedName>
    <definedName name="MENSAGENS">#N/A</definedName>
    <definedName name="MENU">#N/A</definedName>
    <definedName name="MENU1" localSheetId="4">#REF!</definedName>
    <definedName name="MENU1">#REF!</definedName>
    <definedName name="MENU2" localSheetId="4">#REF!</definedName>
    <definedName name="MENU2">#REF!</definedName>
    <definedName name="MENU3" localSheetId="4">#REF!</definedName>
    <definedName name="MENU3">#REF!</definedName>
    <definedName name="MENU4" localSheetId="4">#REF!</definedName>
    <definedName name="MENU4">#REF!</definedName>
    <definedName name="MENU5">#N/A</definedName>
    <definedName name="MENU6">#N/A</definedName>
    <definedName name="MENU6A">#N/A</definedName>
    <definedName name="MENU6B">#N/A</definedName>
    <definedName name="MENU7">#N/A</definedName>
    <definedName name="MENU8">#N/A</definedName>
    <definedName name="MENUG" localSheetId="4">#REF!</definedName>
    <definedName name="MENUG">#REF!</definedName>
    <definedName name="MES" localSheetId="4">#REF!</definedName>
    <definedName name="MES">#REF!</definedName>
    <definedName name="mesdesmobiliz" localSheetId="4">#REF!</definedName>
    <definedName name="mesdesmobiliz">#REF!</definedName>
    <definedName name="Meses">#REF!</definedName>
    <definedName name="MesInicio" localSheetId="4">#REF!</definedName>
    <definedName name="MesInicio">#REF!</definedName>
    <definedName name="mesinicio_proj" localSheetId="4">#REF!</definedName>
    <definedName name="mesinicio_proj">#REF!</definedName>
    <definedName name="mesmobiliz">#REF!</definedName>
    <definedName name="mesvigente" localSheetId="4">#REF!</definedName>
    <definedName name="mesvigente">#REF!</definedName>
    <definedName name="MM" localSheetId="4" hidden="1">{#N/A,#N/A,FALSE,"GERAL";#N/A,#N/A,FALSE,"012-96";#N/A,#N/A,FALSE,"018-96";#N/A,#N/A,FALSE,"027-96";#N/A,#N/A,FALSE,"059-96";#N/A,#N/A,FALSE,"076-96";#N/A,#N/A,FALSE,"019-97";#N/A,#N/A,FALSE,"021-97";#N/A,#N/A,FALSE,"022-97";#N/A,#N/A,FALSE,"028-97"}</definedName>
    <definedName name="MM" hidden="1">{#N/A,#N/A,FALSE,"GERAL";#N/A,#N/A,FALSE,"012-96";#N/A,#N/A,FALSE,"018-96";#N/A,#N/A,FALSE,"027-96";#N/A,#N/A,FALSE,"059-96";#N/A,#N/A,FALSE,"076-96";#N/A,#N/A,FALSE,"019-97";#N/A,#N/A,FALSE,"021-97";#N/A,#N/A,FALSE,"022-97";#N/A,#N/A,FALSE,"028-97"}</definedName>
    <definedName name="MmExcelLinker_4E7BD31E_65F0_440C_A162_0361D739B0FD" localSheetId="3">ANEXO IVA [0]!MAT DE #REF!</definedName>
    <definedName name="MmExcelLinker_4E7BD31E_65F0_440C_A162_0361D739B0FD" localSheetId="4">ANEXO IVA 'DISTR-FIN'!MAT DE #REF!</definedName>
    <definedName name="MmExcelLinker_4E7BD31E_65F0_440C_A162_0361D739B0FD">ANEXO IVA MAT DE #REF!</definedName>
    <definedName name="MO">#N/A</definedName>
    <definedName name="mo_base" localSheetId="3">#REF!</definedName>
    <definedName name="mo_base">[1]Base!$U$39</definedName>
    <definedName name="mo_sub_base" localSheetId="3">#REF!</definedName>
    <definedName name="mo_sub_base">'[1]Sub-base'!$U$36</definedName>
    <definedName name="MOBIL1">#N/A</definedName>
    <definedName name="MOBIL2">#N/A</definedName>
    <definedName name="MOBIL3">#N/A</definedName>
    <definedName name="MOBILIZACAO">#N/A</definedName>
    <definedName name="MOBILIZAÇÃO" hidden="1">{#N/A,#N/A,FALSE,"Cronograma";#N/A,#N/A,FALSE,"Cronogr. 2"}</definedName>
    <definedName name="mod" localSheetId="4">#REF!</definedName>
    <definedName name="mod">#REF!</definedName>
    <definedName name="MODCIV" localSheetId="4">#REF!</definedName>
    <definedName name="MODCIV">#REF!</definedName>
    <definedName name="MODCOM" localSheetId="4">#REF!</definedName>
    <definedName name="MODCOM">#REF!</definedName>
    <definedName name="MODMON" localSheetId="4">#REF!</definedName>
    <definedName name="MODMON">#REF!</definedName>
    <definedName name="Module1.ClearData">#REF!</definedName>
    <definedName name="MODUNIT" localSheetId="4">#REF!</definedName>
    <definedName name="MODUNIT">#REF!</definedName>
    <definedName name="MOE">#REF!</definedName>
    <definedName name="MOEDA">#REF!</definedName>
    <definedName name="MOEDA_23" localSheetId="4">#REF!</definedName>
    <definedName name="MOEDA_23">#REF!</definedName>
    <definedName name="MOEDA_24" localSheetId="4">#REF!</definedName>
    <definedName name="MOEDA_24">#REF!</definedName>
    <definedName name="MOEDA_25" localSheetId="4">#REF!</definedName>
    <definedName name="MOEDA_25">#REF!</definedName>
    <definedName name="MOEDA_26" localSheetId="4">#REF!</definedName>
    <definedName name="MOEDA_26">#REF!</definedName>
    <definedName name="MOH">#REF!</definedName>
    <definedName name="MOI" localSheetId="4">#REF!</definedName>
    <definedName name="MOI">#REF!</definedName>
    <definedName name="MOI_ALOJAMENTO">#REF!</definedName>
    <definedName name="MOI_CI_mont_e_ger">#REF!</definedName>
    <definedName name="MOI_COMUNICAÇÃO">#REF!</definedName>
    <definedName name="MOI_ENCARGOS">#REF!</definedName>
    <definedName name="MOI_EPI">#REF!</definedName>
    <definedName name="MOI_EXAMES_FUNCIONAIS">#REF!</definedName>
    <definedName name="MOI_transporte">#REF!</definedName>
    <definedName name="MOICIV">#REF!</definedName>
    <definedName name="MOICOM">#REF!</definedName>
    <definedName name="MOIGER">#REF!</definedName>
    <definedName name="MOIMON">#REF!</definedName>
    <definedName name="MOIPRO">#REF!</definedName>
    <definedName name="MONTH">#REF!</definedName>
    <definedName name="Month_End_Array">#REF!</definedName>
    <definedName name="Monthly_Data">#REF!</definedName>
    <definedName name="MTV1_DIAM" localSheetId="4">#REF!</definedName>
    <definedName name="MTV1_DIAM">#REF!</definedName>
    <definedName name="MTV1_VALV" localSheetId="4">#REF!</definedName>
    <definedName name="MTV1_VALV">#REF!</definedName>
    <definedName name="MTV2_DIAM" localSheetId="4">#REF!</definedName>
    <definedName name="MTV2_DIAM">#REF!</definedName>
    <definedName name="MTV2_VALV" localSheetId="4">#REF!</definedName>
    <definedName name="MTV2_VALV">#REF!</definedName>
    <definedName name="MTV3_DIAM" localSheetId="4">#REF!</definedName>
    <definedName name="MTV3_DIAM">#REF!</definedName>
    <definedName name="MTV3_VALV" localSheetId="4">#REF!</definedName>
    <definedName name="MTV3_VALV">#REF!</definedName>
    <definedName name="MTV4_DIAM" localSheetId="4">#REF!</definedName>
    <definedName name="MTV4_DIAM">#REF!</definedName>
    <definedName name="MTV4_VALV" localSheetId="4">#REF!</definedName>
    <definedName name="MTV4_VALV">#REF!</definedName>
    <definedName name="MTV5_DIAM" localSheetId="4">#REF!</definedName>
    <definedName name="MTV5_DIAM">#REF!</definedName>
    <definedName name="MTV5_VALV" localSheetId="4">#REF!</definedName>
    <definedName name="MTV5_VALV">#REF!</definedName>
    <definedName name="Multiplicador">#REF!</definedName>
    <definedName name="multsubemp">#REF!</definedName>
    <definedName name="N" localSheetId="4">#REF!</definedName>
    <definedName name="N">#REF!</definedName>
    <definedName name="NADA">#N/A</definedName>
    <definedName name="Name">#REF!</definedName>
    <definedName name="NAO">#REF!</definedName>
    <definedName name="NCcogs">#REF!</definedName>
    <definedName name="NCM" localSheetId="4">#REF!</definedName>
    <definedName name="NCM">#REF!</definedName>
    <definedName name="NCmonthlyCost">#REF!</definedName>
    <definedName name="NCstartDates">#REF!</definedName>
    <definedName name="NIVEL3">#REF!,#REF!,#REF!,#REF!,#REF!,#REF!,#REF!,#REF!,#REF!,#REF!,#REF!,#REF!,#REF!,#REF!,#REF!,#REF!,#REF!,#REF!,#REF!,#REF!,#REF!,#REF!,#REF!,#REF!,#REF!,#REF!,#REF!,#REF!,#REF!,#REF!,#REF!,#REF!,#REF!,#REF!,#REF!</definedName>
    <definedName name="NOME">#N/A</definedName>
    <definedName name="Nome_projeto" localSheetId="4">#REF!</definedName>
    <definedName name="Nome_projeto">#REF!</definedName>
    <definedName name="Nome_responsavel" localSheetId="4">#REF!</definedName>
    <definedName name="Nome_responsavel">#REF!</definedName>
    <definedName name="NOMEARQ">#N/A</definedName>
    <definedName name="NOMEFEC" localSheetId="4">#REF!</definedName>
    <definedName name="NOMEFEC">#REF!</definedName>
    <definedName name="NOMES">#N/A</definedName>
    <definedName name="NOMES__">#N/A</definedName>
    <definedName name="NOMES1">#N/A</definedName>
    <definedName name="NOMESEQ" localSheetId="4">#REF!</definedName>
    <definedName name="NOMESEQ">#REF!</definedName>
    <definedName name="NOMESFIS">#N/A</definedName>
    <definedName name="NOMESMAT" localSheetId="4">#REF!</definedName>
    <definedName name="NOMESMAT">#REF!</definedName>
    <definedName name="notasss">#REF!</definedName>
    <definedName name="num_linhas">#REF!</definedName>
    <definedName name="NUMCOMP" localSheetId="4">#REF!</definedName>
    <definedName name="NUMCOMP">#REF!</definedName>
    <definedName name="NUMCOMPK" localSheetId="4">#REF!</definedName>
    <definedName name="NUMCOMPK">#REF!</definedName>
    <definedName name="NUMCP" localSheetId="4">#REF!</definedName>
    <definedName name="NUMCP">#REF!</definedName>
    <definedName name="NUMCPPROV" localSheetId="4">#REF!</definedName>
    <definedName name="NUMCPPROV">#REF!</definedName>
    <definedName name="NUMDISQ">#N/A</definedName>
    <definedName name="NUMEQ" localSheetId="4">#REF!</definedName>
    <definedName name="NUMEQ">#REF!</definedName>
    <definedName name="NUMERACOMP" localSheetId="4">#REF!</definedName>
    <definedName name="NUMERACOMP">#REF!</definedName>
    <definedName name="NUMERO" localSheetId="4">#REF!</definedName>
    <definedName name="NUMERO">#REF!</definedName>
    <definedName name="NUMEROCP" localSheetId="4">#REF!</definedName>
    <definedName name="NUMEROCP">#REF!</definedName>
    <definedName name="nwr" localSheetId="4" hidden="1">{#N/A,#N/A,FALSE,"GERAL";#N/A,#N/A,FALSE,"012-96";#N/A,#N/A,FALSE,"018-96";#N/A,#N/A,FALSE,"027-96";#N/A,#N/A,FALSE,"059-96";#N/A,#N/A,FALSE,"076-96";#N/A,#N/A,FALSE,"019-97";#N/A,#N/A,FALSE,"021-97";#N/A,#N/A,FALSE,"022-97";#N/A,#N/A,FALSE,"028-97"}</definedName>
    <definedName name="nwr" hidden="1">{#N/A,#N/A,FALSE,"GERAL";#N/A,#N/A,FALSE,"012-96";#N/A,#N/A,FALSE,"018-96";#N/A,#N/A,FALSE,"027-96";#N/A,#N/A,FALSE,"059-96";#N/A,#N/A,FALSE,"076-96";#N/A,#N/A,FALSE,"019-97";#N/A,#N/A,FALSE,"021-97";#N/A,#N/A,FALSE,"022-97";#N/A,#N/A,FALSE,"028-97"}</definedName>
    <definedName name="o" localSheetId="4">#REF!</definedName>
    <definedName name="O">#REF!</definedName>
    <definedName name="oac">#REF!</definedName>
    <definedName name="oae">#REF!</definedName>
    <definedName name="Objetivo_projeto" localSheetId="4">#REF!</definedName>
    <definedName name="Objetivo_projeto">#REF!</definedName>
    <definedName name="obra" localSheetId="4">#REF!</definedName>
    <definedName name="obra">#REF!</definedName>
    <definedName name="ocom">#REF!</definedName>
    <definedName name="OLE_LINK4_1">"$'S D A I '.$#REF!$#REF!"</definedName>
    <definedName name="olnah" localSheetId="4" hidden="1">{#N/A,#N/A,TRUE,"Summary";#N/A,#N/A,TRUE,"Worksheet";#N/A,#N/A,TRUE,"CashFlow"}</definedName>
    <definedName name="olnah" hidden="1">{#N/A,#N/A,TRUE,"Summary";#N/A,#N/A,TRUE,"Worksheet";#N/A,#N/A,TRUE,"CashFlow"}</definedName>
    <definedName name="ooo">#REF!</definedName>
    <definedName name="opções">#REF!</definedName>
    <definedName name="OPERADOR_DE_PA_CARREGADEIRA" localSheetId="4">#REF!</definedName>
    <definedName name="OPERADOR_DE_PA_CARREGADEIRA">#REF!</definedName>
    <definedName name="OR" localSheetId="4">#REF!</definedName>
    <definedName name="OR">#REF!</definedName>
    <definedName name="OrderTable" hidden="1">#REF!</definedName>
    <definedName name="ORGC" localSheetId="4">#REF!</definedName>
    <definedName name="ORGC">#REF!</definedName>
    <definedName name="OT">#REF!</definedName>
    <definedName name="OWN">#REF!</definedName>
    <definedName name="P" localSheetId="4">#REF!</definedName>
    <definedName name="P">#REF!</definedName>
    <definedName name="p2mpmc2">#REF!</definedName>
    <definedName name="p2mpmc3">#REF!</definedName>
    <definedName name="p2mpmc4">#REF!</definedName>
    <definedName name="P2MPTC2">#REF!</definedName>
    <definedName name="p2mptc3">#REF!</definedName>
    <definedName name="p2mptc4">#REF!</definedName>
    <definedName name="p2mptg2">#REF!</definedName>
    <definedName name="p2mptg3">#REF!</definedName>
    <definedName name="p2mptg4">#REF!</definedName>
    <definedName name="p2mptg5">#REF!</definedName>
    <definedName name="p3mpmc3">#REF!</definedName>
    <definedName name="p3mpmc4">#REF!</definedName>
    <definedName name="p3mptc3">#REF!</definedName>
    <definedName name="p3mptc4">#REF!</definedName>
    <definedName name="p3mptg3">#REF!</definedName>
    <definedName name="p3mptg4">#REF!</definedName>
    <definedName name="p3mptg5">#REF!</definedName>
    <definedName name="p4mpmc4">#REF!</definedName>
    <definedName name="p4mptc4">#REF!</definedName>
    <definedName name="p4mptg4">#REF!</definedName>
    <definedName name="p4mptg5">#REF!</definedName>
    <definedName name="p5mptg5">#REF!</definedName>
    <definedName name="p5mtg5">#REF!</definedName>
    <definedName name="PAGE1">#REF!</definedName>
    <definedName name="Page2">#REF!</definedName>
    <definedName name="Pal_Workbook_GUID" hidden="1">"1A9QHZWFZFJ87L4ZT6SI3U8V"</definedName>
    <definedName name="PARA" localSheetId="4">#REF!</definedName>
    <definedName name="PARA">#REF!</definedName>
    <definedName name="Passagem">#REF!</definedName>
    <definedName name="Pasta_Documento">#REF!</definedName>
    <definedName name="PAUX" localSheetId="4">#REF!</definedName>
    <definedName name="PAUX">#REF!</definedName>
    <definedName name="pavi">#REF!</definedName>
    <definedName name="PCORMC">#REF!</definedName>
    <definedName name="PCORTC">#REF!</definedName>
    <definedName name="PCORTG">#REF!</definedName>
    <definedName name="PER">#REF!</definedName>
    <definedName name="PER_23" localSheetId="4">#REF!</definedName>
    <definedName name="PER_23">#REF!</definedName>
    <definedName name="PER_24" localSheetId="4">#REF!</definedName>
    <definedName name="PER_24">#REF!</definedName>
    <definedName name="PER_25" localSheetId="4">#REF!</definedName>
    <definedName name="PER_25">#REF!</definedName>
    <definedName name="PER_26" localSheetId="4">#REF!</definedName>
    <definedName name="PER_26">#REF!</definedName>
    <definedName name="percac">#REF!</definedName>
    <definedName name="perccom">#REF!</definedName>
    <definedName name="percdf">#REF!</definedName>
    <definedName name="percdiv">#REF!</definedName>
    <definedName name="PERCENTS">#N/A</definedName>
    <definedName name="percepi" localSheetId="4">#REF!</definedName>
    <definedName name="percepi">#REF!</definedName>
    <definedName name="percfer" localSheetId="4">#REF!</definedName>
    <definedName name="percfer">#REF!</definedName>
    <definedName name="percgas" localSheetId="4">#REF!</definedName>
    <definedName name="percgas">#REF!</definedName>
    <definedName name="perche">#REF!</definedName>
    <definedName name="percimp">#REF!</definedName>
    <definedName name="percluc">#REF!</definedName>
    <definedName name="PERCMATCO" localSheetId="4">#REF!</definedName>
    <definedName name="PERCMATCO">#REF!</definedName>
    <definedName name="percmatcon">#REF!</definedName>
    <definedName name="percmu">#REF!</definedName>
    <definedName name="percreaj">#REF!</definedName>
    <definedName name="PERFIL">#REF!</definedName>
    <definedName name="PESOS">#N/A</definedName>
    <definedName name="PESOTOTALCOL" localSheetId="4">#REF!</definedName>
    <definedName name="PESOTOTALCOL">#REF!</definedName>
    <definedName name="pg.6">#REF!</definedName>
    <definedName name="Phone">#REF!</definedName>
    <definedName name="PI_IBP_T">#REF!</definedName>
    <definedName name="pigrel">#REF!</definedName>
    <definedName name="pilsec" localSheetId="4">#REF!</definedName>
    <definedName name="pilsec">#REF!</definedName>
    <definedName name="PINTURA" localSheetId="4">#REF!</definedName>
    <definedName name="PINTURA">#REF!</definedName>
    <definedName name="PINTURA_4">#N/A</definedName>
    <definedName name="PINTURA_5">#N/A</definedName>
    <definedName name="pis">#REF!</definedName>
    <definedName name="PIS_COFINS">#REF!</definedName>
    <definedName name="piscofins">#REF!</definedName>
    <definedName name="PL" localSheetId="4">#REF!:INDIRECT(#REF!)</definedName>
    <definedName name="PL">#REF!:INDIRECT(#REF!)</definedName>
    <definedName name="PL_ABC">#REF!</definedName>
    <definedName name="PLA">#REF!</definedName>
    <definedName name="placus">#REF!</definedName>
    <definedName name="plamnsj" localSheetId="4" hidden="1">{#N/A,#N/A,TRUE,"Summary";#N/A,#N/A,TRUE,"Worksheet";#N/A,#N/A,TRUE,"CashFlow"}</definedName>
    <definedName name="plamnsj" hidden="1">{#N/A,#N/A,TRUE,"Summary";#N/A,#N/A,TRUE,"Worksheet";#N/A,#N/A,TRUE,"CashFlow"}</definedName>
    <definedName name="PLAN" localSheetId="4">#REF!:INDIRECT(#REF!)</definedName>
    <definedName name="PLAN">#REF!:INDIRECT(#REF!)</definedName>
    <definedName name="Plan_Unit" localSheetId="4">#REF!</definedName>
    <definedName name="Plan_Unit">#REF!</definedName>
    <definedName name="plan01">#REF!</definedName>
    <definedName name="plan1" hidden="1">{#N/A,#N/A,FALSE,"Cronograma";#N/A,#N/A,FALSE,"Cronogr. 2"}</definedName>
    <definedName name="Plan2" localSheetId="4">#REF!</definedName>
    <definedName name="Plan2">#REF!</definedName>
    <definedName name="plan275">#REF!</definedName>
    <definedName name="PLANILHA" localSheetId="4">#REF!</definedName>
    <definedName name="PLANILHA">#REF!</definedName>
    <definedName name="plano">#REF!</definedName>
    <definedName name="PLLIMPA" localSheetId="4">#REF!</definedName>
    <definedName name="PLLIMPA">#REF!</definedName>
    <definedName name="PLRED" localSheetId="4">#REF!</definedName>
    <definedName name="PLRED">#REF!</definedName>
    <definedName name="POÇOS" localSheetId="4">#REF!</definedName>
    <definedName name="POÇOS">#REF!</definedName>
    <definedName name="POETOTINS" localSheetId="4">#REF!</definedName>
    <definedName name="POETOTINS">#REF!</definedName>
    <definedName name="Popular" localSheetId="4" hidden="1">{#N/A,#N/A,FALSE,"Cronograma";#N/A,#N/A,FALSE,"Cronogr. 2"}</definedName>
    <definedName name="Popular" hidden="1">{#N/A,#N/A,FALSE,"Cronograma";#N/A,#N/A,FALSE,"Cronogr. 2"}</definedName>
    <definedName name="pos" localSheetId="4" hidden="1">{#N/A,#N/A,FALSE,"GERAL";#N/A,#N/A,FALSE,"012-96";#N/A,#N/A,FALSE,"018-96";#N/A,#N/A,FALSE,"027-96";#N/A,#N/A,FALSE,"059-96";#N/A,#N/A,FALSE,"076-96";#N/A,#N/A,FALSE,"019-97";#N/A,#N/A,FALSE,"021-97";#N/A,#N/A,FALSE,"022-97";#N/A,#N/A,FALSE,"028-97"}</definedName>
    <definedName name="pos" hidden="1">{#N/A,#N/A,FALSE,"GERAL";#N/A,#N/A,FALSE,"012-96";#N/A,#N/A,FALSE,"018-96";#N/A,#N/A,FALSE,"027-96";#N/A,#N/A,FALSE,"059-96";#N/A,#N/A,FALSE,"076-96";#N/A,#N/A,FALSE,"019-97";#N/A,#N/A,FALSE,"021-97";#N/A,#N/A,FALSE,"022-97";#N/A,#N/A,FALSE,"028-97"}</definedName>
    <definedName name="PPI">#REF!</definedName>
    <definedName name="PPP">#REF!</definedName>
    <definedName name="PPPPPPPPPPP"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PPPPPPPPPPP"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ppt_pistas_e_patios">#REF!</definedName>
    <definedName name="ppu" localSheetId="4" hidden="1">{#N/A,#N/A,FALSE,"Cronograma";#N/A,#N/A,FALSE,"Cronogr. 2"}</definedName>
    <definedName name="PPU">#REF!</definedName>
    <definedName name="pr" localSheetId="4">#REF!</definedName>
    <definedName name="pr">#REF!</definedName>
    <definedName name="Prazo" localSheetId="4">#REF!</definedName>
    <definedName name="Prazo">#REF!</definedName>
    <definedName name="prazobra" localSheetId="4">#REF!</definedName>
    <definedName name="prazobra">#REF!</definedName>
    <definedName name="PRAZODISC">#N/A</definedName>
    <definedName name="PRCIVIL">#N/A</definedName>
    <definedName name="pre_mod_jor" localSheetId="4">#REF!</definedName>
    <definedName name="pre_mod_jor">#REF!</definedName>
    <definedName name="pre_moi_jor" localSheetId="4">#REF!</definedName>
    <definedName name="pre_moi_jor">#REF!</definedName>
    <definedName name="Precificação" localSheetId="4">#REF!</definedName>
    <definedName name="Precificação">#REF!</definedName>
    <definedName name="PRECO">#REF!</definedName>
    <definedName name="preço" localSheetId="4">#REF!</definedName>
    <definedName name="preço">#REF!</definedName>
    <definedName name="PRECOUNIT" localSheetId="4">#REF!</definedName>
    <definedName name="PRECOUNIT">#REF!</definedName>
    <definedName name="PRECOUNITARIO" localSheetId="4">#REF!</definedName>
    <definedName name="PRECOUNITARIO">#REF!</definedName>
    <definedName name="premat" localSheetId="4">#REF!</definedName>
    <definedName name="premat">#REF!</definedName>
    <definedName name="prequip" localSheetId="4">#REF!</definedName>
    <definedName name="prequip">#REF!</definedName>
    <definedName name="PRIMEIRA" localSheetId="4">#REF!</definedName>
    <definedName name="PRIMEIRA">#REF!</definedName>
    <definedName name="Print_Area_MI">#REF!</definedName>
    <definedName name="Print_Titles_10" localSheetId="4">(#REF!,#REF!)</definedName>
    <definedName name="Print_Titles_10">(#REF!,#REF!)</definedName>
    <definedName name="Print_Titles_11" localSheetId="4">(#REF!,#REF!)</definedName>
    <definedName name="Print_Titles_11">(#REF!,#REF!)</definedName>
    <definedName name="Print_Titles_12" localSheetId="4">(#REF!,#REF!)</definedName>
    <definedName name="Print_Titles_12">(#REF!,#REF!)</definedName>
    <definedName name="Print_Titles_13" localSheetId="4">(#REF!,#REF!)</definedName>
    <definedName name="Print_Titles_13">(#REF!,#REF!)</definedName>
    <definedName name="Print_Titles_14" localSheetId="4">(#REF!,#REF!)</definedName>
    <definedName name="Print_Titles_14">(#REF!,#REF!)</definedName>
    <definedName name="Print_Titles_8" localSheetId="4">#REF!</definedName>
    <definedName name="Print_Titles_8">#REF!</definedName>
    <definedName name="Print_Titles_9" localSheetId="4">(#REF!,#REF!)</definedName>
    <definedName name="Print_Titles_9">(#REF!,#REF!)</definedName>
    <definedName name="PRINT_TYPE">#REF!</definedName>
    <definedName name="PROCESSA" localSheetId="4">#REF!</definedName>
    <definedName name="PROCESSA">#REF!</definedName>
    <definedName name="ProdForm" hidden="1">#REF!</definedName>
    <definedName name="Product" hidden="1">#REF!</definedName>
    <definedName name="produtos" localSheetId="4">#REF!</definedName>
    <definedName name="produtos">#REF!</definedName>
    <definedName name="PROG_AVANÇO_FIS">#REF!</definedName>
    <definedName name="PROG_EXECUTADO">#REF!</definedName>
    <definedName name="PROG_QTD_SEMANA">#REF!</definedName>
    <definedName name="PROG_SEMANAS">#REF!</definedName>
    <definedName name="PROG_TAG">#REF!</definedName>
    <definedName name="PROGDIM">#N/A</definedName>
    <definedName name="Proj.0">#REF!</definedName>
    <definedName name="Proj.1">#REF!</definedName>
    <definedName name="Proj.2">#REF!</definedName>
    <definedName name="Proj.3">#REF!</definedName>
    <definedName name="Proj.4">#REF!</definedName>
    <definedName name="Proj.5">#REF!</definedName>
    <definedName name="Proj.6">#REF!</definedName>
    <definedName name="Proj.7">#REF!</definedName>
    <definedName name="Proj.8">#REF!</definedName>
    <definedName name="PRTOTALCOL" localSheetId="4">#REF!</definedName>
    <definedName name="PRTOTALCOL">#REF!</definedName>
    <definedName name="PRZ" localSheetId="3">#REF!</definedName>
    <definedName name="PRZ">[8]CÁLCULO!$D$5</definedName>
    <definedName name="q" localSheetId="2">#REF!</definedName>
    <definedName name="q" localSheetId="3">#REF!</definedName>
    <definedName name="q" localSheetId="0">#REF!</definedName>
    <definedName name="q" localSheetId="4">#REF!</definedName>
    <definedName name="q">#REF!</definedName>
    <definedName name="q1sd21q6" localSheetId="4" hidden="1">#REF!</definedName>
    <definedName name="q1sd21q6" hidden="1">#REF!</definedName>
    <definedName name="QDate">#REF!</definedName>
    <definedName name="QMhrs">#REF!</definedName>
    <definedName name="qq" localSheetId="4">#REF!</definedName>
    <definedName name="qq">#REF!</definedName>
    <definedName name="qqq"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qqq"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qqqqqq">#REF!</definedName>
    <definedName name="QUANT" localSheetId="4">#REF!</definedName>
    <definedName name="QUANT">#REF!</definedName>
    <definedName name="QUANT_acumu">#REF!</definedName>
    <definedName name="QUANTASDISC">#N/A</definedName>
    <definedName name="QUANTASDISCMOB">#N/A</definedName>
    <definedName name="QUANTID1">#N/A</definedName>
    <definedName name="QuantityToDate">#REF!</definedName>
    <definedName name="QUANTK" localSheetId="4">#REF!</definedName>
    <definedName name="QUANTK">#REF!</definedName>
    <definedName name="QUANTOTMAT9" localSheetId="4">#REF!</definedName>
    <definedName name="QUANTOTMAT9">#REF!</definedName>
    <definedName name="QUANTTOTCP" localSheetId="4">#REF!</definedName>
    <definedName name="QUANTTOTCP">#REF!</definedName>
    <definedName name="QUANTTOTEQUIP" localSheetId="4">#REF!</definedName>
    <definedName name="QUANTTOTEQUIP">#REF!</definedName>
    <definedName name="QUANTTOTEQUIP1" localSheetId="4">#REF!</definedName>
    <definedName name="QUANTTOTEQUIP1">#REF!</definedName>
    <definedName name="QUANTTOTEQUIP10" localSheetId="4">#REF!</definedName>
    <definedName name="QUANTTOTEQUIP10">#REF!</definedName>
    <definedName name="QUANTTOTEQUIP2" localSheetId="4">#REF!</definedName>
    <definedName name="QUANTTOTEQUIP2">#REF!</definedName>
    <definedName name="QUANTTOTEQUIP3" localSheetId="4">#REF!</definedName>
    <definedName name="QUANTTOTEQUIP3">#REF!</definedName>
    <definedName name="QUANTTOTEQUIP4" localSheetId="4">#REF!</definedName>
    <definedName name="QUANTTOTEQUIP4">#REF!</definedName>
    <definedName name="QUANTTOTEQUIP5" localSheetId="4">#REF!</definedName>
    <definedName name="QUANTTOTEQUIP5">#REF!</definedName>
    <definedName name="QUANTTOTEQUIP6" localSheetId="4">#REF!</definedName>
    <definedName name="QUANTTOTEQUIP6">#REF!</definedName>
    <definedName name="QUANTTOTEQUIP7" localSheetId="4">#REF!</definedName>
    <definedName name="QUANTTOTEQUIP7">#REF!</definedName>
    <definedName name="QUANTTOTEQUIP8" localSheetId="4">#REF!</definedName>
    <definedName name="QUANTTOTEQUIP8">#REF!</definedName>
    <definedName name="QUANTTOTEQUIP9" localSheetId="4">#REF!</definedName>
    <definedName name="QUANTTOTEQUIP9">#REF!</definedName>
    <definedName name="QUANTTOTMAT" localSheetId="4">#REF!</definedName>
    <definedName name="QUANTTOTMAT">#REF!</definedName>
    <definedName name="QUANTTOTMAT1" localSheetId="4">#REF!</definedName>
    <definedName name="QUANTTOTMAT1">#REF!</definedName>
    <definedName name="QUANTTOTMAT10" localSheetId="4">#REF!</definedName>
    <definedName name="QUANTTOTMAT10">#REF!</definedName>
    <definedName name="QUANTTOTMAT11" localSheetId="4">#REF!</definedName>
    <definedName name="QUANTTOTMAT11">#REF!</definedName>
    <definedName name="QUANTTOTMAT12" localSheetId="4">#REF!</definedName>
    <definedName name="QUANTTOTMAT12">#REF!</definedName>
    <definedName name="QUANTTOTMAT13" localSheetId="4">#REF!</definedName>
    <definedName name="QUANTTOTMAT13">#REF!</definedName>
    <definedName name="QUANTTOTMAT2" localSheetId="4">#REF!</definedName>
    <definedName name="QUANTTOTMAT2">#REF!</definedName>
    <definedName name="QUANTTOTMAT3" localSheetId="4">#REF!</definedName>
    <definedName name="QUANTTOTMAT3">#REF!</definedName>
    <definedName name="QUANTTOTMAT4" localSheetId="4">#REF!</definedName>
    <definedName name="QUANTTOTMAT4">#REF!</definedName>
    <definedName name="QUANTTOTMAT5" localSheetId="4">#REF!</definedName>
    <definedName name="QUANTTOTMAT5">#REF!</definedName>
    <definedName name="QUANTTOTMAT6" localSheetId="4">#REF!</definedName>
    <definedName name="QUANTTOTMAT6">#REF!</definedName>
    <definedName name="QUANTTOTMAT7" localSheetId="4">#REF!</definedName>
    <definedName name="QUANTTOTMAT7">#REF!</definedName>
    <definedName name="QUANTTOTMAT8" localSheetId="4">#REF!</definedName>
    <definedName name="QUANTTOTMAT8">#REF!</definedName>
    <definedName name="QUANTTOTMAT9" localSheetId="4">#REF!</definedName>
    <definedName name="QUANTTOTMAT9">#REF!</definedName>
    <definedName name="QUERAPAGTAB">#N/A</definedName>
    <definedName name="QUOEFIC_RECOMP">0.9075</definedName>
    <definedName name="qwe16as" localSheetId="4" hidden="1">#REF!</definedName>
    <definedName name="qwe16as" hidden="1">#REF!</definedName>
    <definedName name="qwer123" localSheetId="4" hidden="1">#REF!</definedName>
    <definedName name="qwer123" hidden="1">#REF!</definedName>
    <definedName name="qwert" localSheetId="4">#REF!</definedName>
    <definedName name="qwert">#REF!</definedName>
    <definedName name="qwert12" localSheetId="4" hidden="1">#REF!</definedName>
    <definedName name="qwert12" hidden="1">#REF!</definedName>
    <definedName name="qwertt" localSheetId="4">#REF!</definedName>
    <definedName name="qwertt">#REF!</definedName>
    <definedName name="R_23" localSheetId="4">#REF!</definedName>
    <definedName name="R_23">#REF!</definedName>
    <definedName name="R_24" localSheetId="4">#REF!</definedName>
    <definedName name="R_24">#REF!</definedName>
    <definedName name="R_25" localSheetId="4">#REF!</definedName>
    <definedName name="R_25">#REF!</definedName>
    <definedName name="R_26" localSheetId="4">#REF!</definedName>
    <definedName name="R_26">#REF!</definedName>
    <definedName name="RA">#N/A</definedName>
    <definedName name="RANGE1">#N/A</definedName>
    <definedName name="RANGE2">#N/A</definedName>
    <definedName name="rate">#REF!</definedName>
    <definedName name="RB">#N/A</definedName>
    <definedName name="RCArea" hidden="1">#REF!</definedName>
    <definedName name="re">#REF!</definedName>
    <definedName name="rea">#REF!</definedName>
    <definedName name="REAJUSTE">#REF!</definedName>
    <definedName name="REAJUSTE_NOVO">#REF!</definedName>
    <definedName name="rec" localSheetId="3">#REF!</definedName>
    <definedName name="rec">#REF!</definedName>
    <definedName name="RECALCULA" localSheetId="4">#REF!</definedName>
    <definedName name="RECALCULA">#REF!</definedName>
    <definedName name="REGULA" localSheetId="3">#REF!</definedName>
    <definedName name="REGULA">[1]Regula!$M$36</definedName>
    <definedName name="REGULADORA" localSheetId="3">#REF!</definedName>
    <definedName name="REGULADORA">#REF!</definedName>
    <definedName name="RELATI" localSheetId="4">#REF!</definedName>
    <definedName name="RELATI">#REF!</definedName>
    <definedName name="Relatório_de_inspeção_detalhado">#REF!</definedName>
    <definedName name="RELEQUIP" localSheetId="4">#REF!</definedName>
    <definedName name="RELEQUIP">#REF!</definedName>
    <definedName name="RELMATPERM" localSheetId="4">#REF!</definedName>
    <definedName name="RELMATPERM">#REF!</definedName>
    <definedName name="res" localSheetId="4">#REF!</definedName>
    <definedName name="res">#REF!</definedName>
    <definedName name="RESETCOL">#N/A</definedName>
    <definedName name="RESFEC" localSheetId="4">#REF!</definedName>
    <definedName name="RESFEC">#REF!</definedName>
    <definedName name="RESHH" localSheetId="4">#REF!</definedName>
    <definedName name="RESHH">#REF!</definedName>
    <definedName name="resins" localSheetId="4">#REF!</definedName>
    <definedName name="resins">#REF!</definedName>
    <definedName name="RESUMO" localSheetId="4">#N/A</definedName>
    <definedName name="resumo">#REF!</definedName>
    <definedName name="Resumo_eletrica" localSheetId="4">#REF!</definedName>
    <definedName name="Resumo_eletrica">#REF!</definedName>
    <definedName name="Resumo_eletrica_1" localSheetId="4">#REF!</definedName>
    <definedName name="Resumo_eletrica_1">#REF!</definedName>
    <definedName name="Resumo_eletrica_2" localSheetId="4">#REF!</definedName>
    <definedName name="Resumo_eletrica_2">#REF!</definedName>
    <definedName name="Resumo_GeralTub" localSheetId="4">#REF!</definedName>
    <definedName name="Resumo_GeralTub">#REF!</definedName>
    <definedName name="Resumo_Instrumentacao" localSheetId="4">#REF!</definedName>
    <definedName name="Resumo_Instrumentacao">#REF!</definedName>
    <definedName name="Resumo_Instrumentacao_1" localSheetId="4">#REF!</definedName>
    <definedName name="Resumo_Instrumentacao_1">#REF!</definedName>
    <definedName name="Resumo_Instrumentacao_2" localSheetId="4">#REF!</definedName>
    <definedName name="Resumo_Instrumentacao_2">#REF!</definedName>
    <definedName name="Resumo_Tubulacao" localSheetId="4">#REF!</definedName>
    <definedName name="Resumo_Tubulacao">#REF!</definedName>
    <definedName name="reuyre"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uyre"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v" localSheetId="4">#REF!</definedName>
    <definedName name="rev">#REF!</definedName>
    <definedName name="REV.">#REF!</definedName>
    <definedName name="RF" localSheetId="4">#N/A</definedName>
    <definedName name="rf" hidden="1">#REF!</definedName>
    <definedName name="rio" localSheetId="4" hidden="1">{#N/A,#N/A,FALSE,"Cronograma";#N/A,#N/A,FALSE,"Cronogr. 2"}</definedName>
    <definedName name="rio" hidden="1">{#N/A,#N/A,FALSE,"Cronograma";#N/A,#N/A,FALSE,"Cronogr. 2"}</definedName>
    <definedName name="Risco_sobre_serviços">#REF!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2000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1</definedName>
    <definedName name="RiskUpdateDisplay" hidden="1">TRUE</definedName>
    <definedName name="RiskUseDifferentSeedForEachSim" hidden="1">FALSE</definedName>
    <definedName name="RiskUseFixedSeed" hidden="1">FALSE</definedName>
    <definedName name="RiskUseMultipleCPUs" hidden="1">TRUE</definedName>
    <definedName name="RL">#REF!</definedName>
    <definedName name="RM" localSheetId="3" hidden="1">{#N/A,#N/A,FALSE,"EXPORTAC";#N/A,#N/A,FALSE,"SUPEL94"}</definedName>
    <definedName name="RM" hidden="1">{#N/A,#N/A,FALSE,"EXPORTAC";#N/A,#N/A,FALSE,"SUPEL94"}</definedName>
    <definedName name="ROTBEEP">#N/A</definedName>
    <definedName name="ROTEQ">#N/A</definedName>
    <definedName name="ROTEQ1">#N/A</definedName>
    <definedName name="ROTFIS1">#N/A</definedName>
    <definedName name="ROTFIS2">#N/A</definedName>
    <definedName name="ROTFIS3">#N/A</definedName>
    <definedName name="ROTFORM">#N/A</definedName>
    <definedName name="ROTNOM">#N/A</definedName>
    <definedName name="ROTPERC">#N/A</definedName>
    <definedName name="ROTRISC">#N/A</definedName>
    <definedName name="ROTSOMA1">#N/A</definedName>
    <definedName name="ROTTOTALGER">#N/A</definedName>
    <definedName name="RP" localSheetId="4">#REF!</definedName>
    <definedName name="RP">#REF!</definedName>
    <definedName name="RW">#REF!</definedName>
    <definedName name="s" localSheetId="3">#REF!</definedName>
    <definedName name="S" localSheetId="4">#REF!</definedName>
    <definedName name="s">[9]Plan1!$AK$1</definedName>
    <definedName name="S_autentica" localSheetId="4">#REF!</definedName>
    <definedName name="S_autentica">#REF!</definedName>
    <definedName name="s_da_curva_de_50" localSheetId="4">#REF!</definedName>
    <definedName name="s_da_curva_de_50">#REF!</definedName>
    <definedName name="sabrina"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brin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LARIOS" localSheetId="4">#REF!</definedName>
    <definedName name="SALARIOS">#REF!</definedName>
    <definedName name="SALMED">#REF!</definedName>
    <definedName name="SALMEI">#REF!</definedName>
    <definedName name="SALVAMENTO">#N/A</definedName>
    <definedName name="sargtwregwer"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rgtwregwer"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 localSheetId="4" hidden="1">{#N/A,#N/A,FALSE,"GERAL";#N/A,#N/A,FALSE,"012-96";#N/A,#N/A,FALSE,"018-96";#N/A,#N/A,FALSE,"027-96";#N/A,#N/A,FALSE,"059-96";#N/A,#N/A,FALSE,"076-96";#N/A,#N/A,FALSE,"019-97";#N/A,#N/A,FALSE,"021-97";#N/A,#N/A,FALSE,"022-97";#N/A,#N/A,FALSE,"028-97"}</definedName>
    <definedName name="sas" hidden="1">{#N/A,#N/A,FALSE,"GERAL";#N/A,#N/A,FALSE,"012-96";#N/A,#N/A,FALSE,"018-96";#N/A,#N/A,FALSE,"027-96";#N/A,#N/A,FALSE,"059-96";#N/A,#N/A,FALSE,"076-96";#N/A,#N/A,FALSE,"019-97";#N/A,#N/A,FALSE,"021-97";#N/A,#N/A,FALSE,"022-97";#N/A,#N/A,FALSE,"028-97"}</definedName>
    <definedName name="sasassasa"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assas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CH_2">#REF!</definedName>
    <definedName name="SCH_3">#REF!</definedName>
    <definedName name="SchDialog">"Schaltfläche 10"</definedName>
    <definedName name="SCHED">#REF!</definedName>
    <definedName name="SchPrüfen">"Schaltfläche 8"</definedName>
    <definedName name="sdf" localSheetId="4" hidden="1">{#N/A,#N/A,FALSE,"GERAL";#N/A,#N/A,FALSE,"012-96";#N/A,#N/A,FALSE,"018-96";#N/A,#N/A,FALSE,"027-96";#N/A,#N/A,FALSE,"059-96";#N/A,#N/A,FALSE,"076-96";#N/A,#N/A,FALSE,"019-97";#N/A,#N/A,FALSE,"021-97";#N/A,#N/A,FALSE,"022-97";#N/A,#N/A,FALSE,"028-97"}</definedName>
    <definedName name="SDF">#REF!</definedName>
    <definedName name="SDFSF" localSheetId="4" hidden="1">{#N/A,#N/A,FALSE,"GERAL";#N/A,#N/A,FALSE,"012-96";#N/A,#N/A,FALSE,"018-96";#N/A,#N/A,FALSE,"027-96";#N/A,#N/A,FALSE,"059-96";#N/A,#N/A,FALSE,"076-96";#N/A,#N/A,FALSE,"019-97";#N/A,#N/A,FALSE,"021-97";#N/A,#N/A,FALSE,"022-97";#N/A,#N/A,FALSE,"028-97"}</definedName>
    <definedName name="SDFSF" hidden="1">{#N/A,#N/A,FALSE,"GERAL";#N/A,#N/A,FALSE,"012-96";#N/A,#N/A,FALSE,"018-96";#N/A,#N/A,FALSE,"027-96";#N/A,#N/A,FALSE,"059-96";#N/A,#N/A,FALSE,"076-96";#N/A,#N/A,FALSE,"019-97";#N/A,#N/A,FALSE,"021-97";#N/A,#N/A,FALSE,"022-97";#N/A,#N/A,FALSE,"028-97"}</definedName>
    <definedName name="sdsds">#REF!</definedName>
    <definedName name="Section_V_Part_1">#REF!</definedName>
    <definedName name="Section_V_Part_2">#REF!</definedName>
    <definedName name="SegmentaçãodeDados_DESCRIÇÃO_DO_TIPO">#N/A</definedName>
    <definedName name="SegmentaçãodeDados_TIPO">#N/A</definedName>
    <definedName name="SegmentaçãodeDados_TOMADOR3">#N/A</definedName>
    <definedName name="Seguro_Internacional" localSheetId="4">#REF!</definedName>
    <definedName name="Seguro_Internacional">#REF!</definedName>
    <definedName name="SEMANA" localSheetId="4">#REF!</definedName>
    <definedName name="semana">#REF!</definedName>
    <definedName name="sencount" hidden="1">1</definedName>
    <definedName name="Sensib">#REF!</definedName>
    <definedName name="SERV" localSheetId="4">#REF!</definedName>
    <definedName name="SERV">#REF!</definedName>
    <definedName name="Serviços" localSheetId="4">#REF!</definedName>
    <definedName name="Serviços">#REF!</definedName>
    <definedName name="Serviços_Horas_com_Adicionais">#REF!</definedName>
    <definedName name="servosasco" localSheetId="4">#REF!</definedName>
    <definedName name="servosasco">#REF!</definedName>
    <definedName name="SHTA">#REF!</definedName>
    <definedName name="SIMNAO" localSheetId="4">#REF!</definedName>
    <definedName name="SIMNAO">#REF!</definedName>
    <definedName name="sm" localSheetId="2">#REF!</definedName>
    <definedName name="sm" localSheetId="3">#REF!</definedName>
    <definedName name="sm" localSheetId="0">#REF!</definedName>
    <definedName name="sm">#REF!</definedName>
    <definedName name="sm_23" localSheetId="4">#REF!</definedName>
    <definedName name="sm_23">#REF!</definedName>
    <definedName name="sm_24" localSheetId="4">#REF!</definedName>
    <definedName name="sm_24">#REF!</definedName>
    <definedName name="sm_25" localSheetId="4">#REF!</definedName>
    <definedName name="sm_25">#REF!</definedName>
    <definedName name="sm_26" localSheetId="4">#REF!</definedName>
    <definedName name="sm_26">#REF!</definedName>
    <definedName name="SNAPSHOT_CREATIONDATE">#REF!</definedName>
    <definedName name="sold1" localSheetId="4">#REF!</definedName>
    <definedName name="sold1">#REF!</definedName>
    <definedName name="sold10" localSheetId="4">#REF!</definedName>
    <definedName name="sold10">#REF!</definedName>
    <definedName name="sold12" localSheetId="4">#REF!</definedName>
    <definedName name="sold12">#REF!</definedName>
    <definedName name="sold14" localSheetId="4">#REF!</definedName>
    <definedName name="sold14">#REF!</definedName>
    <definedName name="sold1m" localSheetId="4">#REF!</definedName>
    <definedName name="sold1m">#REF!</definedName>
    <definedName name="sold2" localSheetId="4">#REF!</definedName>
    <definedName name="sold2">#REF!</definedName>
    <definedName name="sold3" localSheetId="4">#REF!</definedName>
    <definedName name="sold3">#REF!</definedName>
    <definedName name="sold3q" localSheetId="4">#REF!</definedName>
    <definedName name="sold3q">#REF!</definedName>
    <definedName name="sold4" localSheetId="4">#REF!</definedName>
    <definedName name="sold4">#REF!</definedName>
    <definedName name="sold6" localSheetId="4">#REF!</definedName>
    <definedName name="sold6">#REF!</definedName>
    <definedName name="sold8" localSheetId="4">#REF!</definedName>
    <definedName name="sold8">#REF!</definedName>
    <definedName name="SOMA" localSheetId="3">#REF!</definedName>
    <definedName name="SOMA">#REF!</definedName>
    <definedName name="soma_empregados" localSheetId="3">#REF!</definedName>
    <definedName name="soma_empregados">#REF!</definedName>
    <definedName name="soma_empregados_23" localSheetId="4">#REF!</definedName>
    <definedName name="soma_empregados_23">#REF!</definedName>
    <definedName name="soma_empregados_24" localSheetId="4">#REF!</definedName>
    <definedName name="soma_empregados_24">#REF!</definedName>
    <definedName name="soma_empregados_25" localSheetId="4">#REF!</definedName>
    <definedName name="soma_empregados_25">#REF!</definedName>
    <definedName name="soma_empregados_26" localSheetId="4">#REF!</definedName>
    <definedName name="soma_empregados_26">#REF!</definedName>
    <definedName name="SOMA2GER">#N/A</definedName>
    <definedName name="SOMAGER">#N/A</definedName>
    <definedName name="SOMAHHDIF" localSheetId="4">#REF!</definedName>
    <definedName name="SOMAHHDIF">#REF!</definedName>
    <definedName name="SpecialPrice" hidden="1">#REF!</definedName>
    <definedName name="SS" localSheetId="4">#REF!</definedName>
    <definedName name="SS" hidden="1">#REF!</definedName>
    <definedName name="sssss"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sss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tate">#REF!</definedName>
    <definedName name="Status">#REF!</definedName>
    <definedName name="stb" localSheetId="4">#REF!</definedName>
    <definedName name="stb">#REF!</definedName>
    <definedName name="stb_23" localSheetId="4">#REF!</definedName>
    <definedName name="stb_23">#REF!</definedName>
    <definedName name="stb_24" localSheetId="4">#REF!</definedName>
    <definedName name="stb_24">#REF!</definedName>
    <definedName name="stb_25" localSheetId="4">#REF!</definedName>
    <definedName name="stb_25">#REF!</definedName>
    <definedName name="stb_26" localSheetId="4">#REF!</definedName>
    <definedName name="stb_26">#REF!</definedName>
    <definedName name="STEAM">#REF!</definedName>
    <definedName name="stm_2">#REF!</definedName>
    <definedName name="SUB">#N/A</definedName>
    <definedName name="Sub_Total_dos_Custos">#REF!</definedName>
    <definedName name="SUBROTIMP">#N/A</definedName>
    <definedName name="SUBROTIMP1">#N/A</definedName>
    <definedName name="subtotais" localSheetId="4">#REF!,#REF!,#REF!</definedName>
    <definedName name="subtotais">#REF!,#REF!,#REF!</definedName>
    <definedName name="SUNHH">#N/A</definedName>
    <definedName name="SUNHH1">#N/A</definedName>
    <definedName name="SYOKI_GAMEN" localSheetId="4">#REF!</definedName>
    <definedName name="SYOKI_GAMEN">#REF!</definedName>
    <definedName name="t" localSheetId="4">#REF!</definedName>
    <definedName name="t">#REF!</definedName>
    <definedName name="TAB">#N/A</definedName>
    <definedName name="Tab_CPressao" localSheetId="4">#REF!</definedName>
    <definedName name="Tab_CPressao">#REF!</definedName>
    <definedName name="Tab_Diam" localSheetId="4">#REF!</definedName>
    <definedName name="Tab_Diam">#REF!</definedName>
    <definedName name="tab_global" localSheetId="4">#REF!</definedName>
    <definedName name="tab_global">#REF!</definedName>
    <definedName name="tab_HH" localSheetId="4">#REF!</definedName>
    <definedName name="tab_HH">#REF!</definedName>
    <definedName name="tab_Mat" localSheetId="4">#REF!</definedName>
    <definedName name="tab_Mat">#REF!</definedName>
    <definedName name="Tab_quantitativos">"$#REF!.$A$9:$N$92"</definedName>
    <definedName name="tab_valv" localSheetId="4">#REF!</definedName>
    <definedName name="tab_valv">#REF!</definedName>
    <definedName name="TABAJHH" localSheetId="4">#REF!</definedName>
    <definedName name="TABAJHH">#REF!</definedName>
    <definedName name="tabdiv" localSheetId="4">#REF!</definedName>
    <definedName name="tabdiv">#REF!</definedName>
    <definedName name="TABELA_PROGRAMAÇÃO">#REF!</definedName>
    <definedName name="tabelão">#REF!</definedName>
    <definedName name="tabelão1">#REF!</definedName>
    <definedName name="tabelão2">#REF!</definedName>
    <definedName name="TABELAS">#N/A</definedName>
    <definedName name="TABEQ" localSheetId="4">#REF!</definedName>
    <definedName name="TABEQ">#REF!</definedName>
    <definedName name="TABLE">#N/A</definedName>
    <definedName name="tabpor" localSheetId="4">#REF!</definedName>
    <definedName name="tabpor">#REF!</definedName>
    <definedName name="tabsal" localSheetId="4">#REF!</definedName>
    <definedName name="TABSAL">#REF!</definedName>
    <definedName name="TACF" localSheetId="4">#REF!</definedName>
    <definedName name="TACF">#REF!</definedName>
    <definedName name="TACI" localSheetId="4">#REF!</definedName>
    <definedName name="TACI">#REF!</definedName>
    <definedName name="TACR" localSheetId="4">#REF!</definedName>
    <definedName name="TACR">#REF!</definedName>
    <definedName name="TACS" localSheetId="4">#REF!</definedName>
    <definedName name="TACS">#REF!</definedName>
    <definedName name="TAG">#REF!</definedName>
    <definedName name="TASK">#REF!</definedName>
    <definedName name="TAX">#REF!</definedName>
    <definedName name="TAXA">#REF!</definedName>
    <definedName name="taxa_cap">#REF!</definedName>
    <definedName name="TB_GERACAO_PETRO_GAS" localSheetId="3">#REF!</definedName>
    <definedName name="TB_GERACAO_PETRO_GAS">[4]TABELAS!#REF!</definedName>
    <definedName name="TB_GERACAO_PETRO_GAS_CHAVES" localSheetId="3">#REF!</definedName>
    <definedName name="TB_GERACAO_PETRO_GAS_CHAVES">[4]TABELAS!$Q$3:$AJ$3</definedName>
    <definedName name="TB_GERACAO_PETRO_OLEO" localSheetId="3">#REF!</definedName>
    <definedName name="TB_GERACAO_PETRO_OLEO">[4]TABELAS!#REF!</definedName>
    <definedName name="TB_GERACAO_PETRO_OLEO_CHAVES" localSheetId="3">#REF!</definedName>
    <definedName name="TB_GERACAO_PETRO_OLEO_CHAVES">[4]TABELAS!$AL$3:$AV$3</definedName>
    <definedName name="TB_GERACAO_TERC_GAS" localSheetId="3">#REF!</definedName>
    <definedName name="TB_GERACAO_TERC_GAS">[4]TABELAS!#REF!</definedName>
    <definedName name="TB_GERACAO_TERC_GAS_CHAVES" localSheetId="3">#REF!</definedName>
    <definedName name="TB_GERACAO_TERC_GAS_CHAVES">[4]TABELAS!$AX$3:$BL$3</definedName>
    <definedName name="TB_GERACAO_TERC_OLEO" localSheetId="3">#REF!</definedName>
    <definedName name="TB_GERACAO_TERC_OLEO">[4]TABELAS!#REF!</definedName>
    <definedName name="TB_GERACAO_TERC_OLEO_CHAVES" localSheetId="3">#REF!</definedName>
    <definedName name="TB_GERACAO_TERC_OLEO_CHAVES">[4]TABELAS!$BN$3:$DA$3</definedName>
    <definedName name="tbl_ProdInfo" hidden="1">#REF!</definedName>
    <definedName name="tc" localSheetId="4">#REF!</definedName>
    <definedName name="tc">#REF!</definedName>
    <definedName name="TD_Mai09" localSheetId="4">#REF!</definedName>
    <definedName name="TD_Mai09">#REF!</definedName>
    <definedName name="TE" localSheetId="2">#REF!</definedName>
    <definedName name="TE" localSheetId="3">#REF!</definedName>
    <definedName name="TE" localSheetId="0">#REF!</definedName>
    <definedName name="TE">#REF!</definedName>
    <definedName name="TELABRANCO">#N/A</definedName>
    <definedName name="TELALA" localSheetId="4">#REF!</definedName>
    <definedName name="TELALA">#REF!</definedName>
    <definedName name="TELAPRES">#N/A</definedName>
    <definedName name="TELAS">#N/A</definedName>
    <definedName name="TELATOTCP" localSheetId="4">#REF!</definedName>
    <definedName name="TELATOTCP">#REF!</definedName>
    <definedName name="TELATOTHH" localSheetId="4">#REF!</definedName>
    <definedName name="TELATOTHH">#REF!</definedName>
    <definedName name="Telefone_responsavel" localSheetId="4">#REF!</definedName>
    <definedName name="Telefone_responsavel">#REF!</definedName>
    <definedName name="TEMP">#REF!</definedName>
    <definedName name="terra">#REF!</definedName>
    <definedName name="TESTAFUN" localSheetId="4">#REF!</definedName>
    <definedName name="TESTAFUN">#REF!</definedName>
    <definedName name="TESTAQUANT1" localSheetId="4">#REF!</definedName>
    <definedName name="TESTAQUANT1">#REF!</definedName>
    <definedName name="TESTAQUANT2" localSheetId="4">#REF!</definedName>
    <definedName name="TESTAQUANT2">#REF!</definedName>
    <definedName name="teste" localSheetId="3">#REF!</definedName>
    <definedName name="teste">#REF!</definedName>
    <definedName name="testea" localSheetId="4">#REF!:OFFSET(#REF!,#REF!-1,0)</definedName>
    <definedName name="testea">#REF!:OFFSET(#REF!,#REF!-1,0)</definedName>
    <definedName name="TESTECODSEC" localSheetId="4">#REF!</definedName>
    <definedName name="TESTECODSEC">#REF!</definedName>
    <definedName name="TESTECODSERV" localSheetId="4">#REF!</definedName>
    <definedName name="TESTECODSERV">#REF!</definedName>
    <definedName name="testeFuvio" localSheetId="4" hidden="1">{#N/A,#N/A,FALSE,"GERAL";#N/A,#N/A,FALSE,"012-96";#N/A,#N/A,FALSE,"018-96";#N/A,#N/A,FALSE,"027-96";#N/A,#N/A,FALSE,"059-96";#N/A,#N/A,FALSE,"076-96";#N/A,#N/A,FALSE,"019-97";#N/A,#N/A,FALSE,"021-97";#N/A,#N/A,FALSE,"022-97";#N/A,#N/A,FALSE,"028-97"}</definedName>
    <definedName name="testeFuvio" hidden="1">{#N/A,#N/A,FALSE,"GERAL";#N/A,#N/A,FALSE,"012-96";#N/A,#N/A,FALSE,"018-96";#N/A,#N/A,FALSE,"027-96";#N/A,#N/A,FALSE,"059-96";#N/A,#N/A,FALSE,"076-96";#N/A,#N/A,FALSE,"019-97";#N/A,#N/A,FALSE,"021-97";#N/A,#N/A,FALSE,"022-97";#N/A,#N/A,FALSE,"028-97"}</definedName>
    <definedName name="TI" localSheetId="4">#REF!</definedName>
    <definedName name="TI">#REF!</definedName>
    <definedName name="TIPO" localSheetId="4">#REF!</definedName>
    <definedName name="TIPO">#REF!</definedName>
    <definedName name="TIPO_DE_INSTRUMENTO">#REF!</definedName>
    <definedName name="TITULO" localSheetId="4">#REF!</definedName>
    <definedName name="TITULO">#REF!</definedName>
    <definedName name="_xlnm.Print_Titles" localSheetId="2">CGO!$1:$1</definedName>
    <definedName name="Títulos_impressão_IM" localSheetId="4">#REF!</definedName>
    <definedName name="Títulos_impressão_IM">#REF!</definedName>
    <definedName name="tjtrj"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jtr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M_23" localSheetId="4">#REF!</definedName>
    <definedName name="TM_23">#REF!</definedName>
    <definedName name="TM_24" localSheetId="4">#REF!</definedName>
    <definedName name="TM_24">#REF!</definedName>
    <definedName name="TM_25" localSheetId="4">#REF!</definedName>
    <definedName name="TM_25">#REF!</definedName>
    <definedName name="TM_26" localSheetId="4">#REF!</definedName>
    <definedName name="TM_26">#REF!</definedName>
    <definedName name="TOT" localSheetId="4">#REF!</definedName>
    <definedName name="TOT">#REF!</definedName>
    <definedName name="Total" localSheetId="2">'[3]Composição item 4'!#REF!</definedName>
    <definedName name="Total" localSheetId="3">#REF!</definedName>
    <definedName name="Total" localSheetId="0">'[3]Composição item 4'!#REF!</definedName>
    <definedName name="TOTAL" localSheetId="4">#REF!</definedName>
    <definedName name="Total">'[3]Composição item 4'!#REF!</definedName>
    <definedName name="TOTAL_DA_FOLHA">#REF!</definedName>
    <definedName name="TOTALCLP03" localSheetId="2">#REF!</definedName>
    <definedName name="TOTALCLP03" localSheetId="3">#REF!</definedName>
    <definedName name="TOTALCLP03" localSheetId="0">#REF!</definedName>
    <definedName name="TOTALCLP03">#REF!</definedName>
    <definedName name="TOTALCP" localSheetId="4">#REF!</definedName>
    <definedName name="TOTALCP">#REF!</definedName>
    <definedName name="TOTALEQ">#N/A</definedName>
    <definedName name="TOTALGER" localSheetId="4">#REF!</definedName>
    <definedName name="TOTALGER">#REF!</definedName>
    <definedName name="totalim" localSheetId="4">#REF!</definedName>
    <definedName name="totalim">#REF!</definedName>
    <definedName name="TOTALIZACP" localSheetId="4">#REF!</definedName>
    <definedName name="TOTALIZACP">#REF!</definedName>
    <definedName name="TOTALIZAEQUIP" localSheetId="4">#REF!</definedName>
    <definedName name="TOTALIZAEQUIP">#REF!</definedName>
    <definedName name="TOTALIZAFUN" localSheetId="4">#REF!</definedName>
    <definedName name="TOTALIZAFUN">#REF!</definedName>
    <definedName name="TOTALIZAHH" localSheetId="4">#REF!</definedName>
    <definedName name="TOTALIZAHH">#REF!</definedName>
    <definedName name="TOTALIZAMAT" localSheetId="4">#REF!</definedName>
    <definedName name="TOTALIZAMAT">#REF!</definedName>
    <definedName name="TOTALLINHAS" localSheetId="4">#REF!</definedName>
    <definedName name="TOTALLINHAS">#REF!</definedName>
    <definedName name="totapoio" localSheetId="4">#REF!</definedName>
    <definedName name="totapoio">#REF!</definedName>
    <definedName name="totbdi" localSheetId="4">#REF!</definedName>
    <definedName name="totbdi">#REF!</definedName>
    <definedName name="TOTCOMP" localSheetId="4">#REF!</definedName>
    <definedName name="TOTCOMP">#REF!</definedName>
    <definedName name="totcp" localSheetId="4">#REF!</definedName>
    <definedName name="totcp">#REF!</definedName>
    <definedName name="totcustos" localSheetId="4">#REF!</definedName>
    <definedName name="totcustos">#REF!</definedName>
    <definedName name="totepi" localSheetId="4">#REF!</definedName>
    <definedName name="totepi">#REF!</definedName>
    <definedName name="toteqdiv" localSheetId="4">#REF!</definedName>
    <definedName name="toteqdiv">#REF!</definedName>
    <definedName name="toteqesp" localSheetId="4">#REF!</definedName>
    <definedName name="toteqesp">#REF!</definedName>
    <definedName name="TOTEQUIP" localSheetId="4">#REF!</definedName>
    <definedName name="TOTEQUIP">#REF!</definedName>
    <definedName name="totexam" localSheetId="4">#REF!</definedName>
    <definedName name="totexam">#REF!</definedName>
    <definedName name="tothe" localSheetId="4">#REF!</definedName>
    <definedName name="tothe">#REF!</definedName>
    <definedName name="TOTHH" localSheetId="4">#REF!</definedName>
    <definedName name="TOTHH">#REF!</definedName>
    <definedName name="TOTHHFUN">#N/A</definedName>
    <definedName name="TOTHORASGER">#N/A</definedName>
    <definedName name="totins" localSheetId="4">#REF!</definedName>
    <definedName name="totins">#REF!</definedName>
    <definedName name="totlinhasplan2.7" localSheetId="4">#REF!</definedName>
    <definedName name="totlinhasplan2.7">#REF!</definedName>
    <definedName name="TOTMAT" localSheetId="4">#REF!</definedName>
    <definedName name="TOTMAT">#REF!</definedName>
    <definedName name="totmatco" localSheetId="4">#REF!</definedName>
    <definedName name="totmatco">#REF!</definedName>
    <definedName name="totmatpe" localSheetId="4">#REF!</definedName>
    <definedName name="totmatpe">#REF!</definedName>
    <definedName name="TOTMOD" localSheetId="4">#REF!</definedName>
    <definedName name="TOTMOD">#REF!</definedName>
    <definedName name="TOTQUANTMAT" localSheetId="4">#REF!</definedName>
    <definedName name="TOTQUANTMAT">#REF!</definedName>
    <definedName name="TOTSERV" localSheetId="4">#REF!</definedName>
    <definedName name="TOTSERV">#REF!</definedName>
    <definedName name="tottrans" localSheetId="4">#REF!</definedName>
    <definedName name="tottrans">#REF!</definedName>
    <definedName name="tp" localSheetId="4">#REF!</definedName>
    <definedName name="tp">#REF!</definedName>
    <definedName name="TPEADS" localSheetId="4">#REF!</definedName>
    <definedName name="TPEADS">#REF!</definedName>
    <definedName name="TPREVMC">#REF!</definedName>
    <definedName name="TPREVTC">#REF!</definedName>
    <definedName name="TPREVTG">#REF!</definedName>
    <definedName name="TPVCR" localSheetId="4">#REF!</definedName>
    <definedName name="TPVCR">#REF!</definedName>
    <definedName name="TPVCS" localSheetId="4">#REF!</definedName>
    <definedName name="TPVCS">#REF!</definedName>
    <definedName name="TRA" localSheetId="4">#REF!</definedName>
    <definedName name="TRA">#REF!</definedName>
    <definedName name="TRANS" localSheetId="4">#REF!</definedName>
    <definedName name="TRANS">#REF!</definedName>
    <definedName name="Transporte">#REF!</definedName>
    <definedName name="transunit" localSheetId="4">#REF!</definedName>
    <definedName name="transunit">#REF!</definedName>
    <definedName name="TU" hidden="1">{#N/A,#N/A,FALSE,"EXPORTAC";#N/A,#N/A,FALSE,"SUPEL94"}</definedName>
    <definedName name="tub1m" localSheetId="4">#REF!</definedName>
    <definedName name="tub1m">#REF!</definedName>
    <definedName name="tub3q" localSheetId="4">#REF!</definedName>
    <definedName name="tub3q">#REF!</definedName>
    <definedName name="tyjtykj"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yjtyk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u" localSheetId="3">#REF!</definedName>
    <definedName name="U" localSheetId="4">#N/A</definedName>
    <definedName name="u">[9]Plan1!$AK$2</definedName>
    <definedName name="um" hidden="1">{#N/A,#N/A,FALSE,"Cronograma";#N/A,#N/A,FALSE,"Cronogr. 2"}</definedName>
    <definedName name="Und" localSheetId="2">'[10]TB-MDO'!#REF!</definedName>
    <definedName name="Und" localSheetId="3">#REF!</definedName>
    <definedName name="Und" localSheetId="0">'[10]TB-MDO'!#REF!</definedName>
    <definedName name="Und">'[10]TB-MDO'!#REF!</definedName>
    <definedName name="UNIDADES">#REF!</definedName>
    <definedName name="unit" localSheetId="4" hidden="1">{#N/A,#N/A,FALSE,"GERAL";#N/A,#N/A,FALSE,"012-96";#N/A,#N/A,FALSE,"018-96";#N/A,#N/A,FALSE,"027-96";#N/A,#N/A,FALSE,"059-96";#N/A,#N/A,FALSE,"076-96";#N/A,#N/A,FALSE,"019-97";#N/A,#N/A,FALSE,"021-97";#N/A,#N/A,FALSE,"022-97";#N/A,#N/A,FALSE,"028-97"}</definedName>
    <definedName name="unit" hidden="1">{#N/A,#N/A,FALSE,"GERAL";#N/A,#N/A,FALSE,"012-96";#N/A,#N/A,FALSE,"018-96";#N/A,#N/A,FALSE,"027-96";#N/A,#N/A,FALSE,"059-96";#N/A,#N/A,FALSE,"076-96";#N/A,#N/A,FALSE,"019-97";#N/A,#N/A,FALSE,"021-97";#N/A,#N/A,FALSE,"022-97";#N/A,#N/A,FALSE,"028-97"}</definedName>
    <definedName name="UNITALIM" localSheetId="4">#REF!</definedName>
    <definedName name="UNITALIM">#REF!</definedName>
    <definedName name="UNITAPOIO" localSheetId="4">#REF!</definedName>
    <definedName name="UNITAPOIO">#REF!</definedName>
    <definedName name="UNITEPI" localSheetId="4">#REF!</definedName>
    <definedName name="UNITEPI">#REF!</definedName>
    <definedName name="UNITEQDIV" localSheetId="4">#REF!</definedName>
    <definedName name="UNITEQDIV">#REF!</definedName>
    <definedName name="UNITEXAM" localSheetId="4">#REF!</definedName>
    <definedName name="UNITEXAM">#REF!</definedName>
    <definedName name="UNITHE" localSheetId="4">#REF!</definedName>
    <definedName name="UNITHE">#REF!</definedName>
    <definedName name="UNITTRANS" localSheetId="4">#REF!</definedName>
    <definedName name="UNITTRANS">#REF!</definedName>
    <definedName name="uoluyk" localSheetId="3" hidden="1">{#N/A,#N/A,TRUE,"indice";#N/A,#N/A,TRUE,"indicadores";#N/A,#N/A,TRUE,"comentarios"}</definedName>
    <definedName name="uoluyk" hidden="1">{#N/A,#N/A,TRUE,"indice";#N/A,#N/A,TRUE,"indicadores";#N/A,#N/A,TRUE,"comentarios"}</definedName>
    <definedName name="UOM">#REF!</definedName>
    <definedName name="USERDATA">#REF!</definedName>
    <definedName name="VA">#REF!</definedName>
    <definedName name="VALHH">#N/A</definedName>
    <definedName name="VALHH1">#N/A</definedName>
    <definedName name="VALHH2">#N/A</definedName>
    <definedName name="VALHH3">#N/A</definedName>
    <definedName name="VALHH4">#N/A</definedName>
    <definedName name="VALHHGER">#N/A</definedName>
    <definedName name="VALOR_TOTAL__R">#REF!</definedName>
    <definedName name="VALORALIM" localSheetId="4">#REF!</definedName>
    <definedName name="VALORALIM">#REF!</definedName>
    <definedName name="VALORAPOIO" localSheetId="4">#REF!</definedName>
    <definedName name="VALORAPOIO">#REF!</definedName>
    <definedName name="VALORBDI" localSheetId="4">#REF!</definedName>
    <definedName name="VALORBDI">#REF!</definedName>
    <definedName name="valorcant" localSheetId="4">#REF!</definedName>
    <definedName name="valorcant">#REF!</definedName>
    <definedName name="VALORCUSTO" localSheetId="4">#REF!</definedName>
    <definedName name="VALORCUSTO">#REF!</definedName>
    <definedName name="VALOREPI" localSheetId="4">#REF!</definedName>
    <definedName name="VALOREPI">#REF!</definedName>
    <definedName name="VALOREQDIV" localSheetId="4">#REF!</definedName>
    <definedName name="VALOREQDIV">#REF!</definedName>
    <definedName name="VALOREQESP" localSheetId="4">#REF!</definedName>
    <definedName name="VALOREQESP">#REF!</definedName>
    <definedName name="VALORESTABDIV" localSheetId="4">#REF!</definedName>
    <definedName name="VALORESTABDIV">#REF!</definedName>
    <definedName name="VALOREXAM" localSheetId="4">#REF!</definedName>
    <definedName name="VALOREXAM">#REF!</definedName>
    <definedName name="valorfec" localSheetId="4">#REF!</definedName>
    <definedName name="valorfec">#REF!</definedName>
    <definedName name="VALORHORASEXTRA" localSheetId="4">#REF!</definedName>
    <definedName name="VALORHORASEXTRA">#REF!</definedName>
    <definedName name="VALORMATCO" localSheetId="4">#REF!</definedName>
    <definedName name="VALORMATCO">#REF!</definedName>
    <definedName name="VALORMATPE" localSheetId="4">#REF!</definedName>
    <definedName name="VALORMATPE">#REF!</definedName>
    <definedName name="VALORMOD" localSheetId="4">#REF!</definedName>
    <definedName name="VALORMOD">#REF!</definedName>
    <definedName name="VALORSUB" localSheetId="4">#REF!</definedName>
    <definedName name="VALORSUB">#REF!</definedName>
    <definedName name="VALORTRANS" localSheetId="4">#REF!</definedName>
    <definedName name="VALORTRANS">#REF!</definedName>
    <definedName name="VALSUBEMP" localSheetId="4">#REF!</definedName>
    <definedName name="VALSUBEMP">#REF!</definedName>
    <definedName name="valuevx">42.314159</definedName>
    <definedName name="valv1" localSheetId="4">#REF!</definedName>
    <definedName name="valv1">#REF!</definedName>
    <definedName name="valv10" localSheetId="4">#REF!</definedName>
    <definedName name="valv10">#REF!</definedName>
    <definedName name="valv12" localSheetId="4">#REF!</definedName>
    <definedName name="valv12">#REF!</definedName>
    <definedName name="valv14" localSheetId="4">#REF!</definedName>
    <definedName name="valv14">#REF!</definedName>
    <definedName name="valv1m" localSheetId="4">#REF!</definedName>
    <definedName name="valv1m">#REF!</definedName>
    <definedName name="valv2" localSheetId="4">#REF!</definedName>
    <definedName name="valv2">#REF!</definedName>
    <definedName name="valv3" localSheetId="4">#REF!</definedName>
    <definedName name="valv3">#REF!</definedName>
    <definedName name="valv3q" localSheetId="4">#REF!</definedName>
    <definedName name="valv3q">#REF!</definedName>
    <definedName name="valv4" localSheetId="4">#REF!</definedName>
    <definedName name="valv4">#REF!</definedName>
    <definedName name="valv6" localSheetId="4">#REF!</definedName>
    <definedName name="valv6">#REF!</definedName>
    <definedName name="valv8" localSheetId="4">#REF!</definedName>
    <definedName name="valv8">#REF!</definedName>
    <definedName name="vap_2">#REF!</definedName>
    <definedName name="vap_3">#REF!</definedName>
    <definedName name="VAPOR">#REF!</definedName>
    <definedName name="VAR">#N/A</definedName>
    <definedName name="VARGEM">#REF!</definedName>
    <definedName name="VARIAVELGRUPO">"-"</definedName>
    <definedName name="VB">#REF!</definedName>
    <definedName name="VC">#REF!</definedName>
    <definedName name="Veic" localSheetId="4">#REF!</definedName>
    <definedName name="Veic">#REF!</definedName>
    <definedName name="vend" localSheetId="4">#REF!</definedName>
    <definedName name="vend">#REF!</definedName>
    <definedName name="Ver.1">#REF!</definedName>
    <definedName name="Ver.2">#REF!</definedName>
    <definedName name="Ver.3">#REF!</definedName>
    <definedName name="Ver.4">#REF!</definedName>
    <definedName name="Ver.5">#REF!</definedName>
    <definedName name="Ver.6">#REF!</definedName>
    <definedName name="Ver.7">#REF!</definedName>
    <definedName name="Ver.8">#REF!</definedName>
    <definedName name="Vertical_Month_End_Dates">#REF!</definedName>
    <definedName name="VI" localSheetId="4" hidden="1">{#N/A,#N/A,FALSE,"GERAL";#N/A,#N/A,FALSE,"012-96";#N/A,#N/A,FALSE,"018-96";#N/A,#N/A,FALSE,"027-96";#N/A,#N/A,FALSE,"059-96";#N/A,#N/A,FALSE,"076-96";#N/A,#N/A,FALSE,"019-97";#N/A,#N/A,FALSE,"021-97";#N/A,#N/A,FALSE,"022-97";#N/A,#N/A,FALSE,"028-97"}</definedName>
    <definedName name="VI" hidden="1">{#N/A,#N/A,FALSE,"GERAL";#N/A,#N/A,FALSE,"012-96";#N/A,#N/A,FALSE,"018-96";#N/A,#N/A,FALSE,"027-96";#N/A,#N/A,FALSE,"059-96";#N/A,#N/A,FALSE,"076-96";#N/A,#N/A,FALSE,"019-97";#N/A,#N/A,FALSE,"021-97";#N/A,#N/A,FALSE,"022-97";#N/A,#N/A,FALSE,"028-97"}</definedName>
    <definedName name="vigsec" localSheetId="4">#REF!</definedName>
    <definedName name="vigsec">#REF!</definedName>
    <definedName name="Visão_GITEC" localSheetId="3">ANEXO IVA [0]!MAT DE #REF!</definedName>
    <definedName name="Visão_GITEC">ANEXO IVA MAT DE #REF!</definedName>
    <definedName name="visc">#REF!</definedName>
    <definedName name="VV" localSheetId="4">#REF!</definedName>
    <definedName name="VV">#REF!</definedName>
    <definedName name="W">#REF!</definedName>
    <definedName name="w3erewqr">#REF!</definedName>
    <definedName name="wadfaw" localSheetId="3" hidden="1">{#N/A,#N/A,TRUE,"indice";#N/A,#N/A,TRUE,"indicadores";#N/A,#N/A,TRUE,"comentarios"}</definedName>
    <definedName name="wadfaw" hidden="1">{#N/A,#N/A,TRUE,"indice";#N/A,#N/A,TRUE,"indicadores";#N/A,#N/A,TRUE,"comentarios"}</definedName>
    <definedName name="WATER">#REF!</definedName>
    <definedName name="wnr" localSheetId="4" hidden="1">{#N/A,#N/A,FALSE,"GERAL";#N/A,#N/A,FALSE,"012-96";#N/A,#N/A,FALSE,"018-96";#N/A,#N/A,FALSE,"027-96";#N/A,#N/A,FALSE,"059-96";#N/A,#N/A,FALSE,"076-96";#N/A,#N/A,FALSE,"019-97";#N/A,#N/A,FALSE,"021-97";#N/A,#N/A,FALSE,"022-97";#N/A,#N/A,FALSE,"028-97"}</definedName>
    <definedName name="wnr" hidden="1">{#N/A,#N/A,FALSE,"GERAL";#N/A,#N/A,FALSE,"012-96";#N/A,#N/A,FALSE,"018-96";#N/A,#N/A,FALSE,"027-96";#N/A,#N/A,FALSE,"059-96";#N/A,#N/A,FALSE,"076-96";#N/A,#N/A,FALSE,"019-97";#N/A,#N/A,FALSE,"021-97";#N/A,#N/A,FALSE,"022-97";#N/A,#N/A,FALSE,"028-97"}</definedName>
    <definedName name="wrn.All._.Worksheets." localSheetId="3" hidden="1">{"s02bspec",#N/A,FALSE,"S02B";#N/A,#N/A,FALSE,"S02C";#N/A,#N/A,FALSE,"S02F";#N/A,#N/A,FALSE,"S03A";#N/A,#N/A,FALSE,"S03B";#N/A,#N/A,FALSE,"S03C";#N/A,#N/A,FALSE,"S03D";#N/A,#N/A,FALSE,"S03F";#N/A,#N/A,FALSE,"S05A";#N/A,#N/A,FALSE,"S05B";#N/A,#N/A,FALSE,"S15B";#N/A,#N/A,FALSE,"S15B2";#N/A,#N/A,FALSE,"S15D";#N/A,#N/A,FALSE,"S15E";#N/A,#N/A,FALSE,"S15F";#N/A,#N/A,FALSE,"S15G";#N/A,#N/A,FALSE,"S15XA";#N/A,#N/A,FALSE,"S15XB";#N/A,#N/A,FALSE,"S16A";#N/A,#N/A,FALSE,"S16B";#N/A,#N/A,FALSE,"S16C";#N/A,#N/A,FALSE,"S16D";#N/A,#N/A,FALSE,"S16E";#N/A,#N/A,FALSE,"S20A";#N/A,#N/A,FALSE,"S20B";#N/A,#N/A,FALSE,"S20C";#N/A,#N/A,FALSE,"S20D"}</definedName>
    <definedName name="wrn.All._.Worksheets." hidden="1">{"s02bspec",#N/A,FALSE,"S02B";#N/A,#N/A,FALSE,"S02C";#N/A,#N/A,FALSE,"S02F";#N/A,#N/A,FALSE,"S03A";#N/A,#N/A,FALSE,"S03B";#N/A,#N/A,FALSE,"S03C";#N/A,#N/A,FALSE,"S03D";#N/A,#N/A,FALSE,"S03F";#N/A,#N/A,FALSE,"S05A";#N/A,#N/A,FALSE,"S05B";#N/A,#N/A,FALSE,"S15B";#N/A,#N/A,FALSE,"S15B2";#N/A,#N/A,FALSE,"S15D";#N/A,#N/A,FALSE,"S15E";#N/A,#N/A,FALSE,"S15F";#N/A,#N/A,FALSE,"S15G";#N/A,#N/A,FALSE,"S15XA";#N/A,#N/A,FALSE,"S15XB";#N/A,#N/A,FALSE,"S16A";#N/A,#N/A,FALSE,"S16B";#N/A,#N/A,FALSE,"S16C";#N/A,#N/A,FALSE,"S16D";#N/A,#N/A,FALSE,"S16E";#N/A,#N/A,FALSE,"S20A";#N/A,#N/A,FALSE,"S20B";#N/A,#N/A,FALSE,"S20C";#N/A,#N/A,FALSE,"S20D"}</definedName>
    <definedName name="wrn.BB1." localSheetId="3" hidden="1">{#N/A,#N/A,FALSE,"RESUMO-BB1";#N/A,#N/A,FALSE,"MOD-A01-R - BB1";#N/A,#N/A,FALSE,"URB-BB1"}</definedName>
    <definedName name="wrn.BB1." localSheetId="4" hidden="1">{#N/A,#N/A,FALSE,"RESUMO-BB1";#N/A,#N/A,FALSE,"MOD-A01-R - BB1";#N/A,#N/A,FALSE,"URB-BB1"}</definedName>
    <definedName name="wrn.BB1." hidden="1">{#N/A,#N/A,FALSE,"RESUMO-BB1";#N/A,#N/A,FALSE,"MOD-A01-R - BB1";#N/A,#N/A,FALSE,"URB-BB1"}</definedName>
    <definedName name="wrn.BB2" localSheetId="3" hidden="1">{#N/A,#N/A,FALSE,"RESUMO-BB1";#N/A,#N/A,FALSE,"MOD-A01-R - BB1";#N/A,#N/A,FALSE,"URB-BB1"}</definedName>
    <definedName name="wrn.BB2" localSheetId="4" hidden="1">{#N/A,#N/A,FALSE,"RESUMO-BB1";#N/A,#N/A,FALSE,"MOD-A01-R - BB1";#N/A,#N/A,FALSE,"URB-BB1"}</definedName>
    <definedName name="wrn.BB2" hidden="1">{#N/A,#N/A,FALSE,"RESUMO-BB1";#N/A,#N/A,FALSE,"MOD-A01-R - BB1";#N/A,#N/A,FALSE,"URB-BB1"}</definedName>
    <definedName name="wrn.BETER." localSheetId="3" hidden="1">{#N/A,#N/A,FALSE,"BETER -1";#N/A,#N/A,FALSE,"BETER -2";#N/A,#N/A,FALSE,"BETER -3";#N/A,#N/A,FALSE,"BETER -urb";#N/A,#N/A,FALSE,"BETER -RESUMO"}</definedName>
    <definedName name="wrn.BETER." localSheetId="4" hidden="1">{#N/A,#N/A,FALSE,"BETER -1";#N/A,#N/A,FALSE,"BETER -2";#N/A,#N/A,FALSE,"BETER -3";#N/A,#N/A,FALSE,"BETER -urb";#N/A,#N/A,FALSE,"BETER -RESUMO"}</definedName>
    <definedName name="wrn.BETER." hidden="1">{#N/A,#N/A,FALSE,"BETER -1";#N/A,#N/A,FALSE,"BETER -2";#N/A,#N/A,FALSE,"BETER -3";#N/A,#N/A,FALSE,"BETER -urb";#N/A,#N/A,FALSE,"BETER -RESUMO"}</definedName>
    <definedName name="wrn.Caixa._.de._.Ferramentas." localSheetId="4"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ixa._.de._.Ferramentas."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ixa._.de._.Ferramentas._.Individuais." localSheetId="4"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aixa._.de._.Ferramentas._.Individuais."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LOVES." localSheetId="4" hidden="1">{#N/A,#N/A,FALSE,"Plan1";#N/A,#N/A,FALSE,"Despesas Diversas por C.Custo"}</definedName>
    <definedName name="wrn.CLOVES." hidden="1">{#N/A,#N/A,FALSE,"Plan1";#N/A,#N/A,FALSE,"Despesas Diversas por C.Custo"}</definedName>
    <definedName name="wrn.Cronograma." localSheetId="4" hidden="1">{#N/A,#N/A,FALSE,"Cronograma";#N/A,#N/A,FALSE,"Cronogr. 2"}</definedName>
    <definedName name="wrn.Cronograma." hidden="1">{#N/A,#N/A,FALSE,"Cronograma";#N/A,#N/A,FALSE,"Cronogr. 2"}</definedName>
    <definedName name="wrn.GERAL." localSheetId="3" hidden="1">{#N/A,#N/A,FALSE,"ET-CAPA";#N/A,#N/A,FALSE,"ET-PAG1";#N/A,#N/A,FALSE,"ET-PAG2";#N/A,#N/A,FALSE,"ET-PAG3";#N/A,#N/A,FALSE,"ET-PAG4";#N/A,#N/A,FALSE,"ET-PAG5"}</definedName>
    <definedName name="wrn.GERAL." localSheetId="4" hidden="1">{#N/A,#N/A,FALSE,"ET-CAPA";#N/A,#N/A,FALSE,"ET-PAG1";#N/A,#N/A,FALSE,"ET-PAG2";#N/A,#N/A,FALSE,"ET-PAG3";#N/A,#N/A,FALSE,"ET-PAG4";#N/A,#N/A,FALSE,"ET-PAG5"}</definedName>
    <definedName name="wrn.GERAL." hidden="1">{#N/A,#N/A,FALSE,"ET-CAPA";#N/A,#N/A,FALSE,"ET-PAG1";#N/A,#N/A,FALSE,"ET-PAG2";#N/A,#N/A,FALSE,"ET-PAG3";#N/A,#N/A,FALSE,"ET-PAG4";#N/A,#N/A,FALSE,"ET-PAG5"}</definedName>
    <definedName name="wrn.gere." localSheetId="3" hidden="1">{#N/A,#N/A,FALSE,"GQGEMPRE"}</definedName>
    <definedName name="wrn.gere." hidden="1">{#N/A,#N/A,FALSE,"GQGEMPRE"}</definedName>
    <definedName name="wrn.geren." localSheetId="3" hidden="1">{#N/A,#N/A,FALSE,"EXPORTAC";#N/A,#N/A,FALSE,"SUPEL94"}</definedName>
    <definedName name="wrn.geren." hidden="1">{#N/A,#N/A,FALSE,"EXPORTAC";#N/A,#N/A,FALSE,"SUPEL94"}</definedName>
    <definedName name="wrn.impressao." localSheetId="4" hidden="1">{#N/A,#N/A,FALSE,"FASE1";#N/A,#N/A,FALSE,"FASE2";#N/A,#N/A,FALSE,"FASE3";#N/A,#N/A,FALSE,"FASE4";#N/A,#N/A,FALSE,"FASE5";#N/A,#N/A,FALSE,"FASE6";#N/A,#N/A,FALSE,"FASE7";#N/A,#N/A,FALSE,"FASE8";#N/A,#N/A,FALSE,"FASE9";#N/A,#N/A,FALSE,"FASE10";#N/A,#N/A,FALSE,"EQUIPAMENTOS";#N/A,#N/A,FALSE,"MOI";#N/A,#N/A,FALSE,"CANTEIRO";#N/A,#N/A,FALSE,"TERCEIROS";#N/A,#N/A,FALSE,"DCO";#N/A,#N/A,FALSE,"RESUMO"}</definedName>
    <definedName name="wrn.impressao." hidden="1">{#N/A,#N/A,FALSE,"FASE1";#N/A,#N/A,FALSE,"FASE2";#N/A,#N/A,FALSE,"FASE3";#N/A,#N/A,FALSE,"FASE4";#N/A,#N/A,FALSE,"FASE5";#N/A,#N/A,FALSE,"FASE6";#N/A,#N/A,FALSE,"FASE7";#N/A,#N/A,FALSE,"FASE8";#N/A,#N/A,FALSE,"FASE9";#N/A,#N/A,FALSE,"FASE10";#N/A,#N/A,FALSE,"EQUIPAMENTOS";#N/A,#N/A,FALSE,"MOI";#N/A,#N/A,FALSE,"CANTEIRO";#N/A,#N/A,FALSE,"TERCEIROS";#N/A,#N/A,FALSE,"DCO";#N/A,#N/A,FALSE,"RESUMO"}</definedName>
    <definedName name="WRN.PEND" localSheetId="4" hidden="1">{#N/A,#N/A,FALSE,"GERAL";#N/A,#N/A,FALSE,"012-96";#N/A,#N/A,FALSE,"018-96";#N/A,#N/A,FALSE,"027-96";#N/A,#N/A,FALSE,"059-96";#N/A,#N/A,FALSE,"076-96";#N/A,#N/A,FALSE,"019-97";#N/A,#N/A,FALSE,"021-97";#N/A,#N/A,FALSE,"022-97";#N/A,#N/A,FALSE,"028-97"}</definedName>
    <definedName name="WRN.PEND" hidden="1">{#N/A,#N/A,FALSE,"GERAL";#N/A,#N/A,FALSE,"012-96";#N/A,#N/A,FALSE,"018-96";#N/A,#N/A,FALSE,"027-96";#N/A,#N/A,FALSE,"059-96";#N/A,#N/A,FALSE,"076-96";#N/A,#N/A,FALSE,"019-97";#N/A,#N/A,FALSE,"021-97";#N/A,#N/A,FALSE,"022-97";#N/A,#N/A,FALSE,"028-97"}</definedName>
    <definedName name="WRN.PEND2" localSheetId="4" hidden="1">{#N/A,#N/A,FALSE,"GERAL";#N/A,#N/A,FALSE,"012-96";#N/A,#N/A,FALSE,"018-96";#N/A,#N/A,FALSE,"027-96";#N/A,#N/A,FALSE,"059-96";#N/A,#N/A,FALSE,"076-96";#N/A,#N/A,FALSE,"019-97";#N/A,#N/A,FALSE,"021-97";#N/A,#N/A,FALSE,"022-97";#N/A,#N/A,FALSE,"028-97"}</definedName>
    <definedName name="WRN.PEND2" hidden="1">{#N/A,#N/A,FALSE,"GERAL";#N/A,#N/A,FALSE,"012-96";#N/A,#N/A,FALSE,"018-96";#N/A,#N/A,FALSE,"027-96";#N/A,#N/A,FALSE,"059-96";#N/A,#N/A,FALSE,"076-96";#N/A,#N/A,FALSE,"019-97";#N/A,#N/A,FALSE,"021-97";#N/A,#N/A,FALSE,"022-97";#N/A,#N/A,FALSE,"028-97"}</definedName>
    <definedName name="WRN.PEND3" localSheetId="4" hidden="1">{#N/A,#N/A,FALSE,"GERAL";#N/A,#N/A,FALSE,"012-96";#N/A,#N/A,FALSE,"018-96";#N/A,#N/A,FALSE,"027-96";#N/A,#N/A,FALSE,"059-96";#N/A,#N/A,FALSE,"076-96";#N/A,#N/A,FALSE,"019-97";#N/A,#N/A,FALSE,"021-97";#N/A,#N/A,FALSE,"022-97";#N/A,#N/A,FALSE,"028-97"}</definedName>
    <definedName name="WRN.PEND3" hidden="1">{#N/A,#N/A,FALSE,"GERAL";#N/A,#N/A,FALSE,"012-96";#N/A,#N/A,FALSE,"018-96";#N/A,#N/A,FALSE,"027-96";#N/A,#N/A,FALSE,"059-96";#N/A,#N/A,FALSE,"076-96";#N/A,#N/A,FALSE,"019-97";#N/A,#N/A,FALSE,"021-97";#N/A,#N/A,FALSE,"022-97";#N/A,#N/A,FALSE,"028-97"}</definedName>
    <definedName name="WRN.PEND4" localSheetId="4" hidden="1">{#N/A,#N/A,FALSE,"GERAL";#N/A,#N/A,FALSE,"012-96";#N/A,#N/A,FALSE,"018-96";#N/A,#N/A,FALSE,"027-96";#N/A,#N/A,FALSE,"059-96";#N/A,#N/A,FALSE,"076-96";#N/A,#N/A,FALSE,"019-97";#N/A,#N/A,FALSE,"021-97";#N/A,#N/A,FALSE,"022-97";#N/A,#N/A,FALSE,"028-97"}</definedName>
    <definedName name="WRN.PEND4" hidden="1">{#N/A,#N/A,FALSE,"GERAL";#N/A,#N/A,FALSE,"012-96";#N/A,#N/A,FALSE,"018-96";#N/A,#N/A,FALSE,"027-96";#N/A,#N/A,FALSE,"059-96";#N/A,#N/A,FALSE,"076-96";#N/A,#N/A,FALSE,"019-97";#N/A,#N/A,FALSE,"021-97";#N/A,#N/A,FALSE,"022-97";#N/A,#N/A,FALSE,"028-97"}</definedName>
    <definedName name="wrn.PENDENCIAS." localSheetId="3" hidden="1">{#N/A,#N/A,FALSE,"GERAL";#N/A,#N/A,FALSE,"012-96";#N/A,#N/A,FALSE,"018-96";#N/A,#N/A,FALSE,"027-96";#N/A,#N/A,FALSE,"059-96";#N/A,#N/A,FALSE,"076-96";#N/A,#N/A,FALSE,"019-97";#N/A,#N/A,FALSE,"021-97";#N/A,#N/A,FALSE,"022-97";#N/A,#N/A,FALSE,"028-97"}</definedName>
    <definedName name="wrn.PENDENCIAS." localSheetId="4" hidden="1">{#N/A,#N/A,FALSE,"GERAL";#N/A,#N/A,FALSE,"012-96";#N/A,#N/A,FALSE,"018-96";#N/A,#N/A,FALSE,"027-96";#N/A,#N/A,FALSE,"059-96";#N/A,#N/A,FALSE,"076-96";#N/A,#N/A,FALSE,"019-97";#N/A,#N/A,FALSE,"021-97";#N/A,#N/A,FALSE,"022-97";#N/A,#N/A,FALSE,"028-97"}</definedName>
    <definedName name="wrn.PENDENCIAS." hidden="1">{#N/A,#N/A,FALSE,"GERAL";#N/A,#N/A,FALSE,"012-96";#N/A,#N/A,FALSE,"018-96";#N/A,#N/A,FALSE,"027-96";#N/A,#N/A,FALSE,"059-96";#N/A,#N/A,FALSE,"076-96";#N/A,#N/A,FALSE,"019-97";#N/A,#N/A,FALSE,"021-97";#N/A,#N/A,FALSE,"022-97";#N/A,#N/A,FALSE,"028-97"}</definedName>
    <definedName name="wrn.Print._.Sketches." localSheetId="3" hidden="1">{#N/A,#N/A,FALSE,"Sketch1";#N/A,#N/A,FALSE,"Sketch2";#N/A,#N/A,FALSE,"Sketch3"}</definedName>
    <definedName name="wrn.Print._.Sketches." hidden="1">{#N/A,#N/A,FALSE,"Sketch1";#N/A,#N/A,FALSE,"Sketch2";#N/A,#N/A,FALSE,"Sketch3"}</definedName>
    <definedName name="wrn.Relatório._.Porto."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atório._.Porto."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Standard." localSheetId="4" hidden="1">{#N/A,#N/A,TRUE,"Summary";#N/A,#N/A,TRUE,"Worksheet"}</definedName>
    <definedName name="wrn.Standard." hidden="1">{#N/A,#N/A,TRUE,"Summary";#N/A,#N/A,TRUE,"Worksheet"}</definedName>
    <definedName name="wrn.teste." localSheetId="3" hidden="1">{#N/A,#N/A,TRUE,"indice";#N/A,#N/A,TRUE,"indicadores";#N/A,#N/A,TRUE,"comentarios"}</definedName>
    <definedName name="wrn.teste." hidden="1">{#N/A,#N/A,TRUE,"indice";#N/A,#N/A,TRUE,"indicadores";#N/A,#N/A,TRUE,"comentarios"}</definedName>
    <definedName name="wrn.X_Print._.All." localSheetId="4" hidden="1">{#N/A,#N/A,TRUE,"Summary";#N/A,#N/A,TRUE,"Worksheet";#N/A,#N/A,TRUE,"CashFlow"}</definedName>
    <definedName name="wrn.X_Print._.All." hidden="1">{#N/A,#N/A,TRUE,"Summary";#N/A,#N/A,TRUE,"Worksheet";#N/A,#N/A,TRUE,"CashFlow"}</definedName>
    <definedName name="wtr_2">#REF!</definedName>
    <definedName name="WWW" localSheetId="4" hidden="1">{#N/A,#N/A,FALSE,"GERAL";#N/A,#N/A,FALSE,"012-96";#N/A,#N/A,FALSE,"018-96";#N/A,#N/A,FALSE,"027-96";#N/A,#N/A,FALSE,"059-96";#N/A,#N/A,FALSE,"076-96";#N/A,#N/A,FALSE,"019-97";#N/A,#N/A,FALSE,"021-97";#N/A,#N/A,FALSE,"022-97";#N/A,#N/A,FALSE,"028-97"}</definedName>
    <definedName name="WWW" hidden="1">{#N/A,#N/A,FALSE,"GERAL";#N/A,#N/A,FALSE,"012-96";#N/A,#N/A,FALSE,"018-96";#N/A,#N/A,FALSE,"027-96";#N/A,#N/A,FALSE,"059-96";#N/A,#N/A,FALSE,"076-96";#N/A,#N/A,FALSE,"019-97";#N/A,#N/A,FALSE,"021-97";#N/A,#N/A,FALSE,"022-97";#N/A,#N/A,FALSE,"028-97"}</definedName>
    <definedName name="x" localSheetId="3" hidden="1">{#N/A,#N/A,FALSE,"RESUMO-BB1";#N/A,#N/A,FALSE,"MOD-A01-R - BB1";#N/A,#N/A,FALSE,"URB-BB1"}</definedName>
    <definedName name="x" localSheetId="4" hidden="1">{#N/A,#N/A,FALSE,"GERAL";#N/A,#N/A,FALSE,"012-96";#N/A,#N/A,FALSE,"018-96";#N/A,#N/A,FALSE,"027-96";#N/A,#N/A,FALSE,"059-96";#N/A,#N/A,FALSE,"076-96";#N/A,#N/A,FALSE,"019-97";#N/A,#N/A,FALSE,"021-97";#N/A,#N/A,FALSE,"022-97";#N/A,#N/A,FALSE,"028-97"}</definedName>
    <definedName name="x" hidden="1">{#N/A,#N/A,FALSE,"RESUMO-BB1";#N/A,#N/A,FALSE,"MOD-A01-R - BB1";#N/A,#N/A,FALSE,"URB-BB1"}</definedName>
    <definedName name="xaaxx"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aaxx"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#REF!</definedName>
    <definedName name="xxx"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#REF!</definedName>
    <definedName name="xxxxx"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 localSheetId="3"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X">#REF!</definedName>
    <definedName name="Y" localSheetId="4">#REF!</definedName>
    <definedName name="y">#REF!</definedName>
    <definedName name="Z" localSheetId="4">#REF!</definedName>
    <definedName name="Z">#REF!</definedName>
    <definedName name="Z_05234C20_9DDC_11D5_A0BB_00A024A82BCF_.wvu.Rows" hidden="1">#REF!</definedName>
    <definedName name="Z_7A73F218_A748_11D5_9555_00E000158CBD_.wvu.PrintArea" hidden="1">#REF!</definedName>
    <definedName name="Z_9E4DCA50_9E00_11D5_80FE_00105A371CEC_.wvu.Cols" hidden="1">#REF!,#REF!</definedName>
    <definedName name="Z_9E4DCA50_9E00_11D5_80FE_00105A371CEC_.wvu.Rows" hidden="1">#REF!</definedName>
    <definedName name="ZERATOTAIS" localSheetId="4">#REF!</definedName>
    <definedName name="ZERATOTAIS">#REF!</definedName>
    <definedName name="Zip">#REF!</definedName>
    <definedName name="zzz">#REF!</definedName>
    <definedName name="zzzxxx">#REF!</definedName>
  </definedNames>
  <calcPr calcId="191029"/>
  <pivotCaches>
    <pivotCache cacheId="120" r:id="rId18"/>
  </pivotCaches>
  <extLs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1"/>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8" i="17" l="1"/>
  <c r="CB38" i="47"/>
  <c r="BW38" i="47"/>
  <c r="BY38" i="47" s="1"/>
  <c r="BZ38" i="47" s="1"/>
  <c r="BV38" i="47"/>
  <c r="BQ38" i="47"/>
  <c r="BR38" i="47" s="1"/>
  <c r="BP38" i="47"/>
  <c r="BK38" i="47"/>
  <c r="BL38" i="47" s="1"/>
  <c r="BJ38" i="47"/>
  <c r="BG38" i="47"/>
  <c r="BH38" i="47" s="1"/>
  <c r="BE38" i="47"/>
  <c r="BF38" i="47" s="1"/>
  <c r="BD38" i="47"/>
  <c r="AY38" i="47"/>
  <c r="BA38" i="47" s="1"/>
  <c r="BB38" i="47" s="1"/>
  <c r="AX38" i="47"/>
  <c r="AS38" i="47"/>
  <c r="AU38" i="47" s="1"/>
  <c r="AV38" i="47" s="1"/>
  <c r="AR38" i="47"/>
  <c r="AO38" i="47"/>
  <c r="AP38" i="47" s="1"/>
  <c r="AN38" i="47"/>
  <c r="AK38" i="47"/>
  <c r="AL38" i="47" s="1"/>
  <c r="AI38" i="47"/>
  <c r="AJ38" i="47" s="1"/>
  <c r="AH38" i="47"/>
  <c r="AF38" i="47"/>
  <c r="AC38" i="47"/>
  <c r="AD38" i="47" s="1"/>
  <c r="AB38" i="47"/>
  <c r="Z38" i="47"/>
  <c r="X38" i="47"/>
  <c r="V38" i="47"/>
  <c r="T38" i="47"/>
  <c r="R38" i="47"/>
  <c r="P38" i="47"/>
  <c r="L38" i="47"/>
  <c r="J38" i="47"/>
  <c r="CB37" i="47"/>
  <c r="BW37" i="47"/>
  <c r="BY37" i="47" s="1"/>
  <c r="BZ37" i="47" s="1"/>
  <c r="BV37" i="47"/>
  <c r="BQ37" i="47"/>
  <c r="BR37" i="47" s="1"/>
  <c r="BP37" i="47"/>
  <c r="BK37" i="47"/>
  <c r="BM37" i="47" s="1"/>
  <c r="BN37" i="47" s="1"/>
  <c r="BJ37" i="47"/>
  <c r="BE37" i="47"/>
  <c r="BF37" i="47" s="1"/>
  <c r="BD37" i="47"/>
  <c r="AY37" i="47"/>
  <c r="BA37" i="47" s="1"/>
  <c r="BB37" i="47" s="1"/>
  <c r="AX37" i="47"/>
  <c r="AS37" i="47"/>
  <c r="AU37" i="47" s="1"/>
  <c r="AV37" i="47" s="1"/>
  <c r="AR37" i="47"/>
  <c r="AO37" i="47"/>
  <c r="AP37" i="47" s="1"/>
  <c r="AN37" i="47"/>
  <c r="AK37" i="47"/>
  <c r="AL37" i="47" s="1"/>
  <c r="AI37" i="47"/>
  <c r="AJ37" i="47" s="1"/>
  <c r="AH37" i="47"/>
  <c r="AF37" i="47"/>
  <c r="AC37" i="47"/>
  <c r="AD37" i="47" s="1"/>
  <c r="AB37" i="47"/>
  <c r="Z37" i="47"/>
  <c r="X37" i="47"/>
  <c r="V37" i="47"/>
  <c r="T37" i="47"/>
  <c r="R37" i="47"/>
  <c r="P37" i="47"/>
  <c r="L37" i="47"/>
  <c r="J37" i="47"/>
  <c r="CB36" i="47"/>
  <c r="BW36" i="47"/>
  <c r="BY36" i="47" s="1"/>
  <c r="BZ36" i="47" s="1"/>
  <c r="BV36" i="47"/>
  <c r="BQ36" i="47"/>
  <c r="BS36" i="47" s="1"/>
  <c r="BT36" i="47" s="1"/>
  <c r="BP36" i="47"/>
  <c r="BK36" i="47"/>
  <c r="BM36" i="47" s="1"/>
  <c r="BN36" i="47" s="1"/>
  <c r="BJ36" i="47"/>
  <c r="BE36" i="47"/>
  <c r="BG36" i="47" s="1"/>
  <c r="BH36" i="47" s="1"/>
  <c r="BD36" i="47"/>
  <c r="AY36" i="47"/>
  <c r="BA36" i="47" s="1"/>
  <c r="BB36" i="47" s="1"/>
  <c r="AX36" i="47"/>
  <c r="AS36" i="47"/>
  <c r="AU36" i="47" s="1"/>
  <c r="AV36" i="47" s="1"/>
  <c r="AR36" i="47"/>
  <c r="AO36" i="47"/>
  <c r="AP36" i="47" s="1"/>
  <c r="AN36" i="47"/>
  <c r="AK36" i="47"/>
  <c r="AL36" i="47" s="1"/>
  <c r="AI36" i="47"/>
  <c r="AJ36" i="47" s="1"/>
  <c r="AH36" i="47"/>
  <c r="AF36" i="47"/>
  <c r="AC36" i="47"/>
  <c r="AD36" i="47" s="1"/>
  <c r="AB36" i="47"/>
  <c r="Z36" i="47"/>
  <c r="X36" i="47"/>
  <c r="V36" i="47"/>
  <c r="T36" i="47"/>
  <c r="R36" i="47"/>
  <c r="P36" i="47"/>
  <c r="L36" i="47"/>
  <c r="J36" i="47"/>
  <c r="E36" i="46"/>
  <c r="E35" i="46"/>
  <c r="E34"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AR4" i="47"/>
  <c r="M11" i="17"/>
  <c r="L11" i="17"/>
  <c r="K11" i="17"/>
  <c r="F11" i="17"/>
  <c r="E11" i="17"/>
  <c r="M10" i="17"/>
  <c r="L10" i="17"/>
  <c r="K10" i="17"/>
  <c r="F10" i="17"/>
  <c r="E10" i="17"/>
  <c r="AN7" i="47"/>
  <c r="AN5" i="47"/>
  <c r="C7" i="53"/>
  <c r="C6" i="53"/>
  <c r="F38" i="47" l="1"/>
  <c r="H38" i="47" s="1"/>
  <c r="AZ38" i="47"/>
  <c r="BS37" i="47"/>
  <c r="BT37" i="47" s="1"/>
  <c r="BM38" i="47"/>
  <c r="BN38" i="47" s="1"/>
  <c r="BS38" i="47"/>
  <c r="BT38" i="47" s="1"/>
  <c r="BR36" i="47"/>
  <c r="F37" i="47"/>
  <c r="H37" i="47" s="1"/>
  <c r="AT37" i="47"/>
  <c r="BG37" i="47"/>
  <c r="BH37" i="47" s="1"/>
  <c r="AT38" i="47"/>
  <c r="BX38" i="47"/>
  <c r="AZ37" i="47"/>
  <c r="F36" i="47"/>
  <c r="H36" i="47" s="1"/>
  <c r="BL36" i="47"/>
  <c r="BL37" i="47"/>
  <c r="BX37" i="47"/>
  <c r="BF36" i="47"/>
  <c r="AZ36" i="47"/>
  <c r="AT36" i="47"/>
  <c r="BX36" i="47"/>
  <c r="K59" i="17"/>
  <c r="K60" i="17"/>
  <c r="K61" i="17"/>
  <c r="J59" i="17"/>
  <c r="J60" i="17"/>
  <c r="J61" i="17"/>
  <c r="K19" i="17"/>
  <c r="K21" i="17"/>
  <c r="K24" i="17"/>
  <c r="K25" i="17"/>
  <c r="K26" i="17"/>
  <c r="K30" i="17"/>
  <c r="K31" i="17"/>
  <c r="K32" i="17"/>
  <c r="K34" i="17"/>
  <c r="K35" i="17"/>
  <c r="K38" i="17"/>
  <c r="K40" i="17"/>
  <c r="J16" i="17"/>
  <c r="J19" i="17"/>
  <c r="J21" i="17"/>
  <c r="J24" i="17"/>
  <c r="J25" i="17"/>
  <c r="J26" i="17"/>
  <c r="K16" i="17"/>
  <c r="I16" i="17"/>
  <c r="G38" i="47" l="1"/>
  <c r="G37" i="47"/>
  <c r="G36" i="47"/>
  <c r="I66" i="17"/>
  <c r="J49" i="17"/>
  <c r="J44" i="17"/>
  <c r="J35" i="17"/>
  <c r="I54" i="17"/>
  <c r="J51" i="17"/>
  <c r="J45" i="17"/>
  <c r="J30" i="17"/>
  <c r="J42" i="17"/>
  <c r="J31" i="17"/>
  <c r="J46" i="17"/>
  <c r="I59" i="17"/>
  <c r="I60" i="17"/>
  <c r="I55" i="17"/>
  <c r="I63" i="17"/>
  <c r="I56" i="17"/>
  <c r="J32" i="17"/>
  <c r="I52" i="17"/>
  <c r="J43" i="17"/>
  <c r="J40" i="17"/>
  <c r="I26" i="17"/>
  <c r="J38" i="17"/>
  <c r="G17" i="17"/>
  <c r="I24" i="17"/>
  <c r="I61" i="17"/>
  <c r="H52" i="17"/>
  <c r="H61" i="17"/>
  <c r="H17" i="17"/>
  <c r="I45" i="17"/>
  <c r="I44" i="17"/>
  <c r="I19" i="17"/>
  <c r="I49" i="17"/>
  <c r="H48" i="17"/>
  <c r="I40" i="17"/>
  <c r="I25" i="17"/>
  <c r="I35" i="17"/>
  <c r="I43" i="17"/>
  <c r="I32" i="17"/>
  <c r="H56" i="17"/>
  <c r="I39" i="17"/>
  <c r="I42" i="17"/>
  <c r="I46" i="17"/>
  <c r="I30" i="17"/>
  <c r="H37" i="17"/>
  <c r="H66" i="17"/>
  <c r="J48" i="17"/>
  <c r="K48" i="17"/>
  <c r="L48" i="17"/>
  <c r="M48" i="17"/>
  <c r="J47" i="17"/>
  <c r="K47" i="17"/>
  <c r="L47" i="17"/>
  <c r="K43" i="17"/>
  <c r="I34" i="17"/>
  <c r="J34" i="17"/>
  <c r="L34" i="17"/>
  <c r="L31" i="17"/>
  <c r="L21" i="17"/>
  <c r="M21" i="17"/>
  <c r="L24" i="17"/>
  <c r="M24" i="17"/>
  <c r="L16" i="17"/>
  <c r="K49" i="17"/>
  <c r="L49" i="17"/>
  <c r="K50" i="17"/>
  <c r="L50" i="17"/>
  <c r="K58" i="17"/>
  <c r="L58" i="17"/>
  <c r="K67" i="17"/>
  <c r="L67" i="17"/>
  <c r="K75" i="17"/>
  <c r="R6" i="53"/>
  <c r="Q6" i="53"/>
  <c r="P6" i="53"/>
  <c r="O6" i="53"/>
  <c r="N6" i="53"/>
  <c r="M6" i="53"/>
  <c r="L6" i="53"/>
  <c r="K6" i="53"/>
  <c r="J6" i="53"/>
  <c r="I6" i="53"/>
  <c r="H6" i="53"/>
  <c r="G6" i="53"/>
  <c r="F6" i="53"/>
  <c r="E6" i="53"/>
  <c r="D6" i="53"/>
  <c r="L15" i="17" l="1"/>
  <c r="K41" i="17"/>
  <c r="L41" i="17"/>
  <c r="L14" i="17" s="1"/>
  <c r="K15" i="17"/>
  <c r="K14" i="17" s="1"/>
  <c r="M75" i="17"/>
  <c r="K12" i="17"/>
  <c r="D7" i="53"/>
  <c r="E7" i="53" s="1"/>
  <c r="F7" i="53" s="1"/>
  <c r="G7" i="53" s="1"/>
  <c r="H7" i="53" s="1"/>
  <c r="I7" i="53" s="1"/>
  <c r="J7" i="53" s="1"/>
  <c r="K7" i="53" s="1"/>
  <c r="L7" i="53" s="1"/>
  <c r="M7" i="53" s="1"/>
  <c r="N7" i="53" s="1"/>
  <c r="O7" i="53" s="1"/>
  <c r="P7" i="53" s="1"/>
  <c r="Q7" i="53" s="1"/>
  <c r="R7" i="53" s="1"/>
  <c r="M12" i="17" l="1"/>
  <c r="K76" i="17"/>
  <c r="K78" i="17"/>
  <c r="H53" i="17"/>
  <c r="I48" i="17"/>
  <c r="H63" i="17"/>
  <c r="I31" i="17"/>
  <c r="I29" i="17" l="1"/>
  <c r="I21" i="17"/>
  <c r="H20" i="17"/>
  <c r="I33" i="17"/>
  <c r="M67" i="17" l="1"/>
  <c r="CB12" i="47"/>
  <c r="BW12" i="47"/>
  <c r="BY12" i="47" s="1"/>
  <c r="BZ12" i="47" s="1"/>
  <c r="BV12" i="47"/>
  <c r="BQ12" i="47"/>
  <c r="BR12" i="47" s="1"/>
  <c r="BP12" i="47"/>
  <c r="BK12" i="47"/>
  <c r="BL12" i="47" s="1"/>
  <c r="BJ12" i="47"/>
  <c r="BE12" i="47"/>
  <c r="BF12" i="47" s="1"/>
  <c r="BD12" i="47"/>
  <c r="AY12" i="47"/>
  <c r="AZ12" i="47" s="1"/>
  <c r="AX12" i="47"/>
  <c r="AS12" i="47"/>
  <c r="AU12" i="47" s="1"/>
  <c r="AV12" i="47" s="1"/>
  <c r="AR12" i="47"/>
  <c r="T12" i="47"/>
  <c r="R12" i="47"/>
  <c r="O12" i="47"/>
  <c r="P12" i="47" s="1"/>
  <c r="N12" i="47"/>
  <c r="L12" i="47"/>
  <c r="I12" i="47"/>
  <c r="J12" i="47" s="1"/>
  <c r="CB11" i="47"/>
  <c r="BW11" i="47"/>
  <c r="BY11" i="47" s="1"/>
  <c r="BZ11" i="47" s="1"/>
  <c r="BV11" i="47"/>
  <c r="BQ11" i="47"/>
  <c r="BS11" i="47" s="1"/>
  <c r="BT11" i="47" s="1"/>
  <c r="BP11" i="47"/>
  <c r="BK11" i="47"/>
  <c r="BM11" i="47" s="1"/>
  <c r="BN11" i="47" s="1"/>
  <c r="BJ11" i="47"/>
  <c r="BE11" i="47"/>
  <c r="BG11" i="47" s="1"/>
  <c r="BH11" i="47" s="1"/>
  <c r="BD11" i="47"/>
  <c r="AY11" i="47"/>
  <c r="AZ11" i="47" s="1"/>
  <c r="AX11" i="47"/>
  <c r="AS11" i="47"/>
  <c r="AU11" i="47" s="1"/>
  <c r="AV11" i="47" s="1"/>
  <c r="AR11" i="47"/>
  <c r="T11" i="47"/>
  <c r="R11" i="47"/>
  <c r="O11" i="47"/>
  <c r="P11" i="47" s="1"/>
  <c r="N11" i="47"/>
  <c r="L11" i="47"/>
  <c r="I11" i="47"/>
  <c r="J11" i="47" s="1"/>
  <c r="AK35" i="47"/>
  <c r="AL35" i="47" s="1"/>
  <c r="AK34" i="47"/>
  <c r="AL34" i="47" s="1"/>
  <c r="AK33" i="47"/>
  <c r="AK32" i="47"/>
  <c r="AK31" i="47"/>
  <c r="AK30" i="47"/>
  <c r="AK29" i="47"/>
  <c r="AK28" i="47"/>
  <c r="AK27" i="47"/>
  <c r="AK26" i="47"/>
  <c r="AK25" i="47"/>
  <c r="AK24" i="47"/>
  <c r="AK23" i="47"/>
  <c r="AK22" i="47"/>
  <c r="AK21" i="47"/>
  <c r="AK20" i="47"/>
  <c r="AK19" i="47"/>
  <c r="AK18" i="47"/>
  <c r="AK17" i="47"/>
  <c r="AK16" i="47"/>
  <c r="AK15" i="47"/>
  <c r="AK9" i="47"/>
  <c r="AK8" i="47"/>
  <c r="AK7" i="47"/>
  <c r="AK6" i="47"/>
  <c r="AK4" i="47"/>
  <c r="AK5" i="47"/>
  <c r="AI35" i="47"/>
  <c r="AJ35" i="47" s="1"/>
  <c r="AH35" i="47"/>
  <c r="AI34" i="47"/>
  <c r="AJ34" i="47" s="1"/>
  <c r="AH34" i="47"/>
  <c r="AF35" i="47"/>
  <c r="AF34" i="47"/>
  <c r="CB35" i="47"/>
  <c r="BW35" i="47"/>
  <c r="BY35" i="47" s="1"/>
  <c r="BZ35" i="47" s="1"/>
  <c r="BV35" i="47"/>
  <c r="BQ35" i="47"/>
  <c r="BR35" i="47" s="1"/>
  <c r="BP35" i="47"/>
  <c r="BK35" i="47"/>
  <c r="BL35" i="47" s="1"/>
  <c r="BJ35" i="47"/>
  <c r="BE35" i="47"/>
  <c r="BG35" i="47" s="1"/>
  <c r="BH35" i="47" s="1"/>
  <c r="BD35" i="47"/>
  <c r="AY35" i="47"/>
  <c r="BA35" i="47" s="1"/>
  <c r="BB35" i="47" s="1"/>
  <c r="AX35" i="47"/>
  <c r="AS35" i="47"/>
  <c r="AT35" i="47" s="1"/>
  <c r="AR35" i="47"/>
  <c r="AO35" i="47"/>
  <c r="AP35" i="47" s="1"/>
  <c r="AC35" i="47"/>
  <c r="AD35" i="47" s="1"/>
  <c r="AB35" i="47"/>
  <c r="Z35" i="47"/>
  <c r="X35" i="47"/>
  <c r="V35" i="47"/>
  <c r="T35" i="47"/>
  <c r="R35" i="47"/>
  <c r="P35" i="47"/>
  <c r="L35" i="47"/>
  <c r="J35" i="47"/>
  <c r="CB34" i="47"/>
  <c r="BW34" i="47"/>
  <c r="BX34" i="47" s="1"/>
  <c r="BV34" i="47"/>
  <c r="BQ34" i="47"/>
  <c r="BR34" i="47" s="1"/>
  <c r="BP34" i="47"/>
  <c r="BK34" i="47"/>
  <c r="BM34" i="47" s="1"/>
  <c r="BN34" i="47" s="1"/>
  <c r="BJ34" i="47"/>
  <c r="BE34" i="47"/>
  <c r="BG34" i="47" s="1"/>
  <c r="BH34" i="47" s="1"/>
  <c r="BD34" i="47"/>
  <c r="AY34" i="47"/>
  <c r="AZ34" i="47" s="1"/>
  <c r="AX34" i="47"/>
  <c r="AS34" i="47"/>
  <c r="AU34" i="47" s="1"/>
  <c r="AV34" i="47" s="1"/>
  <c r="AR34" i="47"/>
  <c r="AO34" i="47"/>
  <c r="AP34" i="47" s="1"/>
  <c r="AC34" i="47"/>
  <c r="AD34" i="47" s="1"/>
  <c r="AB34" i="47"/>
  <c r="Z34" i="47"/>
  <c r="X34" i="47"/>
  <c r="V34" i="47"/>
  <c r="T34" i="47"/>
  <c r="R34" i="47"/>
  <c r="P34" i="47"/>
  <c r="L34" i="47"/>
  <c r="J34" i="47"/>
  <c r="AN11" i="47" l="1"/>
  <c r="AO11" i="47"/>
  <c r="AP11" i="47" s="1"/>
  <c r="AO12" i="47"/>
  <c r="AP12" i="47" s="1"/>
  <c r="AU35" i="47"/>
  <c r="AV35" i="47" s="1"/>
  <c r="AN12" i="47"/>
  <c r="BA12" i="47"/>
  <c r="BB12" i="47" s="1"/>
  <c r="BM12" i="47"/>
  <c r="BN12" i="47" s="1"/>
  <c r="AT11" i="47"/>
  <c r="F11" i="47"/>
  <c r="H11" i="47" s="1"/>
  <c r="BS12" i="47"/>
  <c r="BT12" i="47" s="1"/>
  <c r="BR11" i="47"/>
  <c r="BG12" i="47"/>
  <c r="BH12" i="47" s="1"/>
  <c r="BA11" i="47"/>
  <c r="BB11" i="47" s="1"/>
  <c r="F12" i="47"/>
  <c r="H12" i="47" s="1"/>
  <c r="BL11" i="47"/>
  <c r="BX11" i="47"/>
  <c r="AT12" i="47"/>
  <c r="BF11" i="47"/>
  <c r="BX12" i="47"/>
  <c r="BF34" i="47"/>
  <c r="BA34" i="47"/>
  <c r="BB34" i="47" s="1"/>
  <c r="AZ35" i="47"/>
  <c r="BM35" i="47"/>
  <c r="BN35" i="47" s="1"/>
  <c r="BL34" i="47"/>
  <c r="BF35" i="47"/>
  <c r="BS34" i="47"/>
  <c r="BT34" i="47" s="1"/>
  <c r="F35" i="47"/>
  <c r="H35" i="47" s="1"/>
  <c r="F34" i="47"/>
  <c r="H34" i="47" s="1"/>
  <c r="AT34" i="47"/>
  <c r="BS35" i="47"/>
  <c r="BT35" i="47" s="1"/>
  <c r="AN34" i="47"/>
  <c r="BY34" i="47"/>
  <c r="BZ34" i="47" s="1"/>
  <c r="BX35" i="47"/>
  <c r="AN35" i="47"/>
  <c r="G11" i="47" l="1"/>
  <c r="G12" i="47"/>
  <c r="G35" i="47"/>
  <c r="G34" i="47"/>
  <c r="F26" i="17" l="1"/>
  <c r="H16" i="17"/>
  <c r="H27" i="17"/>
  <c r="H30" i="17"/>
  <c r="H44" i="17"/>
  <c r="H42" i="17"/>
  <c r="H65" i="17"/>
  <c r="H24" i="17"/>
  <c r="H54" i="17"/>
  <c r="H35" i="17"/>
  <c r="H51" i="17"/>
  <c r="H45" i="17"/>
  <c r="H46" i="17"/>
  <c r="H32" i="17"/>
  <c r="H34" i="17"/>
  <c r="H26" i="17"/>
  <c r="H31" i="17"/>
  <c r="H40" i="17"/>
  <c r="H22" i="17"/>
  <c r="H49" i="17"/>
  <c r="G61" i="17"/>
  <c r="G25" i="17"/>
  <c r="H43" i="17"/>
  <c r="H21" i="17"/>
  <c r="H23" i="17"/>
  <c r="G51" i="17"/>
  <c r="G16" i="17"/>
  <c r="H18" i="17"/>
  <c r="G66" i="17"/>
  <c r="G27" i="17"/>
  <c r="G44" i="17"/>
  <c r="G45" i="17"/>
  <c r="G42" i="17"/>
  <c r="G49" i="17"/>
  <c r="G54" i="17"/>
  <c r="G26" i="17"/>
  <c r="G35" i="17"/>
  <c r="G30" i="17"/>
  <c r="G34" i="17"/>
  <c r="G31" i="17"/>
  <c r="G38" i="17"/>
  <c r="G52" i="17"/>
  <c r="G43" i="17"/>
  <c r="G32" i="17"/>
  <c r="G21" i="17"/>
  <c r="G37" i="17"/>
  <c r="F27" i="17"/>
  <c r="F24" i="17"/>
  <c r="F31" i="17"/>
  <c r="F66" i="17"/>
  <c r="F25" i="17"/>
  <c r="F42" i="17"/>
  <c r="F51" i="17"/>
  <c r="F35" i="17"/>
  <c r="F21" i="17"/>
  <c r="F34" i="17"/>
  <c r="F16" i="17"/>
  <c r="E18" i="17"/>
  <c r="F29" i="17"/>
  <c r="F22" i="17"/>
  <c r="F23" i="17"/>
  <c r="F32" i="17"/>
  <c r="E24" i="17"/>
  <c r="E68" i="52"/>
  <c r="D72" i="52"/>
  <c r="D5" i="52" s="1"/>
  <c r="C72" i="52"/>
  <c r="D21" i="52" l="1"/>
  <c r="D22" i="52"/>
  <c r="D23" i="52"/>
  <c r="D24" i="52"/>
  <c r="D26" i="52"/>
  <c r="D27" i="52"/>
  <c r="D28" i="52"/>
  <c r="D3" i="52" l="1"/>
  <c r="E5" i="52"/>
  <c r="B5" i="52"/>
  <c r="E56" i="52" l="1"/>
  <c r="E55" i="52"/>
  <c r="E54" i="52"/>
  <c r="E4" i="52"/>
  <c r="B4" i="52"/>
  <c r="E62" i="52"/>
  <c r="B3" i="52"/>
  <c r="E31" i="52"/>
  <c r="E3" i="52" s="1"/>
  <c r="E6" i="52" s="1"/>
  <c r="E32" i="52"/>
  <c r="E33" i="52"/>
  <c r="E34" i="52"/>
  <c r="E30" i="52"/>
  <c r="AL33" i="47"/>
  <c r="AL32" i="47"/>
  <c r="AL31" i="47"/>
  <c r="AL30" i="47"/>
  <c r="AL29" i="47"/>
  <c r="AL28" i="47"/>
  <c r="AL27" i="47"/>
  <c r="AL26" i="47"/>
  <c r="AL25" i="47"/>
  <c r="AL24" i="47"/>
  <c r="AL23" i="47"/>
  <c r="AL22" i="47"/>
  <c r="AL21" i="47"/>
  <c r="AL20" i="47"/>
  <c r="AL19" i="47"/>
  <c r="AL18" i="47"/>
  <c r="AL17" i="47"/>
  <c r="AL16" i="47"/>
  <c r="AL15" i="47"/>
  <c r="AL10" i="47"/>
  <c r="AL9" i="47"/>
  <c r="AL8" i="47"/>
  <c r="AL7" i="47"/>
  <c r="AL6" i="47"/>
  <c r="AL5" i="47"/>
  <c r="AL4" i="47"/>
  <c r="AC26" i="47"/>
  <c r="AC28" i="47"/>
  <c r="AA27" i="47"/>
  <c r="AA21" i="47"/>
  <c r="AA18" i="47"/>
  <c r="AA17" i="47"/>
  <c r="AA16" i="47"/>
  <c r="Y25" i="47"/>
  <c r="Y21" i="47"/>
  <c r="W21" i="47"/>
  <c r="Y18" i="47"/>
  <c r="W18" i="47"/>
  <c r="Y16" i="47"/>
  <c r="W16" i="47"/>
  <c r="U21" i="47"/>
  <c r="U18" i="47"/>
  <c r="U17" i="47"/>
  <c r="U16" i="47"/>
  <c r="V16" i="47" s="1"/>
  <c r="X32" i="47" l="1"/>
  <c r="X31" i="47"/>
  <c r="CB33" i="47"/>
  <c r="BW33" i="47"/>
  <c r="BX33" i="47" s="1"/>
  <c r="BV33" i="47"/>
  <c r="BQ33" i="47"/>
  <c r="BR33" i="47" s="1"/>
  <c r="BP33" i="47"/>
  <c r="BK33" i="47"/>
  <c r="BL33" i="47" s="1"/>
  <c r="BJ33" i="47"/>
  <c r="BE33" i="47"/>
  <c r="BF33" i="47" s="1"/>
  <c r="BD33" i="47"/>
  <c r="AY33" i="47"/>
  <c r="BA33" i="47" s="1"/>
  <c r="BB33" i="47" s="1"/>
  <c r="AX33" i="47"/>
  <c r="AS33" i="47"/>
  <c r="AU33" i="47" s="1"/>
  <c r="AV33" i="47" s="1"/>
  <c r="AR33" i="47"/>
  <c r="AO33" i="47"/>
  <c r="AP33" i="47" s="1"/>
  <c r="AJ33" i="47"/>
  <c r="AF33" i="47"/>
  <c r="AC33" i="47"/>
  <c r="AD33" i="47" s="1"/>
  <c r="AB33" i="47"/>
  <c r="Z33" i="47"/>
  <c r="X33" i="47"/>
  <c r="V33" i="47"/>
  <c r="T33" i="47"/>
  <c r="J33" i="47"/>
  <c r="L33" i="47"/>
  <c r="CB32" i="47"/>
  <c r="BW32" i="47"/>
  <c r="BY32" i="47" s="1"/>
  <c r="BZ32" i="47" s="1"/>
  <c r="BV32" i="47"/>
  <c r="BQ32" i="47"/>
  <c r="BS32" i="47" s="1"/>
  <c r="BT32" i="47" s="1"/>
  <c r="BP32" i="47"/>
  <c r="BK32" i="47"/>
  <c r="BM32" i="47" s="1"/>
  <c r="BN32" i="47" s="1"/>
  <c r="BJ32" i="47"/>
  <c r="BE32" i="47"/>
  <c r="BG32" i="47" s="1"/>
  <c r="BH32" i="47" s="1"/>
  <c r="BD32" i="47"/>
  <c r="AY32" i="47"/>
  <c r="AZ32" i="47" s="1"/>
  <c r="AX32" i="47"/>
  <c r="AS32" i="47"/>
  <c r="AT32" i="47" s="1"/>
  <c r="AR32" i="47"/>
  <c r="AO32" i="47"/>
  <c r="AP32" i="47" s="1"/>
  <c r="AJ32" i="47"/>
  <c r="AF32" i="47"/>
  <c r="AC32" i="47"/>
  <c r="AD32" i="47" s="1"/>
  <c r="AB32" i="47"/>
  <c r="Z32" i="47"/>
  <c r="V32" i="47"/>
  <c r="P32" i="47"/>
  <c r="T32" i="47"/>
  <c r="J32" i="47"/>
  <c r="CB31" i="47"/>
  <c r="BW31" i="47"/>
  <c r="BX31" i="47" s="1"/>
  <c r="BV31" i="47"/>
  <c r="BQ31" i="47"/>
  <c r="BR31" i="47" s="1"/>
  <c r="BP31" i="47"/>
  <c r="BK31" i="47"/>
  <c r="BL31" i="47" s="1"/>
  <c r="BJ31" i="47"/>
  <c r="BE31" i="47"/>
  <c r="BG31" i="47" s="1"/>
  <c r="BH31" i="47" s="1"/>
  <c r="BD31" i="47"/>
  <c r="AY31" i="47"/>
  <c r="BA31" i="47" s="1"/>
  <c r="BB31" i="47" s="1"/>
  <c r="AX31" i="47"/>
  <c r="AS31" i="47"/>
  <c r="AU31" i="47" s="1"/>
  <c r="AV31" i="47" s="1"/>
  <c r="AR31" i="47"/>
  <c r="AO31" i="47"/>
  <c r="AP31" i="47" s="1"/>
  <c r="AJ31" i="47"/>
  <c r="AF31" i="47"/>
  <c r="AC31" i="47"/>
  <c r="AD31" i="47" s="1"/>
  <c r="AB31" i="47"/>
  <c r="Z31" i="47"/>
  <c r="V31" i="47"/>
  <c r="R31" i="47"/>
  <c r="T31" i="47"/>
  <c r="L31" i="47"/>
  <c r="CB30" i="47"/>
  <c r="BW30" i="47"/>
  <c r="BY30" i="47" s="1"/>
  <c r="BZ30" i="47" s="1"/>
  <c r="BV30" i="47"/>
  <c r="BQ30" i="47"/>
  <c r="BS30" i="47" s="1"/>
  <c r="BT30" i="47" s="1"/>
  <c r="BP30" i="47"/>
  <c r="BK30" i="47"/>
  <c r="BM30" i="47" s="1"/>
  <c r="BN30" i="47" s="1"/>
  <c r="BJ30" i="47"/>
  <c r="BE30" i="47"/>
  <c r="BG30" i="47" s="1"/>
  <c r="BH30" i="47" s="1"/>
  <c r="BD30" i="47"/>
  <c r="AY30" i="47"/>
  <c r="AZ30" i="47" s="1"/>
  <c r="AX30" i="47"/>
  <c r="AS30" i="47"/>
  <c r="AT30" i="47" s="1"/>
  <c r="AR30" i="47"/>
  <c r="AO30" i="47"/>
  <c r="AP30" i="47" s="1"/>
  <c r="AH30" i="47"/>
  <c r="AF30" i="47"/>
  <c r="AC30" i="47"/>
  <c r="AD30" i="47" s="1"/>
  <c r="AB30" i="47"/>
  <c r="Z30" i="47"/>
  <c r="X30" i="47"/>
  <c r="V30" i="47"/>
  <c r="P30" i="47"/>
  <c r="T30" i="47"/>
  <c r="J30" i="47"/>
  <c r="CB29" i="47"/>
  <c r="BW29" i="47"/>
  <c r="BX29" i="47" s="1"/>
  <c r="BV29" i="47"/>
  <c r="BQ29" i="47"/>
  <c r="BR29" i="47" s="1"/>
  <c r="BP29" i="47"/>
  <c r="BK29" i="47"/>
  <c r="BM29" i="47" s="1"/>
  <c r="BN29" i="47" s="1"/>
  <c r="BJ29" i="47"/>
  <c r="BE29" i="47"/>
  <c r="BG29" i="47" s="1"/>
  <c r="BH29" i="47" s="1"/>
  <c r="BD29" i="47"/>
  <c r="AY29" i="47"/>
  <c r="BA29" i="47" s="1"/>
  <c r="BB29" i="47" s="1"/>
  <c r="AX29" i="47"/>
  <c r="AS29" i="47"/>
  <c r="AU29" i="47" s="1"/>
  <c r="AV29" i="47" s="1"/>
  <c r="AR29" i="47"/>
  <c r="AO29" i="47"/>
  <c r="AP29" i="47" s="1"/>
  <c r="AJ29" i="47"/>
  <c r="AF29" i="47"/>
  <c r="AC29" i="47"/>
  <c r="AD29" i="47" s="1"/>
  <c r="AB29" i="47"/>
  <c r="Z29" i="47"/>
  <c r="X29" i="47"/>
  <c r="V29" i="47"/>
  <c r="R29" i="47"/>
  <c r="T29" i="47"/>
  <c r="L29" i="47"/>
  <c r="BM33" i="47" l="1"/>
  <c r="BN33" i="47" s="1"/>
  <c r="BM31" i="47"/>
  <c r="BN31" i="47" s="1"/>
  <c r="AZ31" i="47"/>
  <c r="BF31" i="47"/>
  <c r="AN32" i="47"/>
  <c r="BG33" i="47"/>
  <c r="BH33" i="47" s="1"/>
  <c r="AZ33" i="47"/>
  <c r="AJ30" i="47"/>
  <c r="BS31" i="47"/>
  <c r="BT31" i="47" s="1"/>
  <c r="BX32" i="47"/>
  <c r="BY29" i="47"/>
  <c r="BZ29" i="47" s="1"/>
  <c r="BL29" i="47"/>
  <c r="AH32" i="47"/>
  <c r="AU32" i="47"/>
  <c r="AV32" i="47" s="1"/>
  <c r="BA30" i="47"/>
  <c r="BB30" i="47" s="1"/>
  <c r="J29" i="47"/>
  <c r="AZ29" i="47"/>
  <c r="AN30" i="47"/>
  <c r="BX30" i="47"/>
  <c r="R33" i="47"/>
  <c r="L30" i="47"/>
  <c r="BY31" i="47"/>
  <c r="BZ31" i="47" s="1"/>
  <c r="BS33" i="47"/>
  <c r="BT33" i="47" s="1"/>
  <c r="BA32" i="47"/>
  <c r="BB32" i="47" s="1"/>
  <c r="BF29" i="47"/>
  <c r="BS29" i="47"/>
  <c r="BT29" i="47" s="1"/>
  <c r="J31" i="47"/>
  <c r="AU30" i="47"/>
  <c r="AV30" i="47" s="1"/>
  <c r="L32" i="47"/>
  <c r="BY33" i="47"/>
  <c r="BZ33" i="47" s="1"/>
  <c r="F32" i="47"/>
  <c r="H32" i="47" s="1"/>
  <c r="F29" i="47"/>
  <c r="H29" i="47" s="1"/>
  <c r="F30" i="47"/>
  <c r="H30" i="47" s="1"/>
  <c r="F33" i="47"/>
  <c r="H33" i="47" s="1"/>
  <c r="F31" i="47"/>
  <c r="H31" i="47" s="1"/>
  <c r="AH29" i="47"/>
  <c r="R30" i="47"/>
  <c r="BF30" i="47"/>
  <c r="AH31" i="47"/>
  <c r="R32" i="47"/>
  <c r="BF32" i="47"/>
  <c r="AH33" i="47"/>
  <c r="AT29" i="47"/>
  <c r="BR30" i="47"/>
  <c r="AT31" i="47"/>
  <c r="BR32" i="47"/>
  <c r="AT33" i="47"/>
  <c r="P29" i="47"/>
  <c r="P31" i="47"/>
  <c r="P33" i="47"/>
  <c r="AN29" i="47"/>
  <c r="BL30" i="47"/>
  <c r="AN31" i="47"/>
  <c r="BL32" i="47"/>
  <c r="AN33" i="47"/>
  <c r="D52" i="52"/>
  <c r="D51" i="52"/>
  <c r="D50" i="52"/>
  <c r="D49" i="52"/>
  <c r="C48" i="52"/>
  <c r="D47" i="52"/>
  <c r="C44" i="52"/>
  <c r="D43" i="52"/>
  <c r="C70" i="52"/>
  <c r="C42" i="52"/>
  <c r="D45" i="52"/>
  <c r="D41" i="52"/>
  <c r="C40" i="52"/>
  <c r="C39" i="52"/>
  <c r="C66" i="52"/>
  <c r="C5" i="52" s="1"/>
  <c r="C38" i="52"/>
  <c r="D37" i="52"/>
  <c r="C20" i="52"/>
  <c r="C19" i="52"/>
  <c r="C17" i="52"/>
  <c r="C15" i="52"/>
  <c r="C13" i="52"/>
  <c r="C12" i="52"/>
  <c r="C11" i="52"/>
  <c r="C9" i="52"/>
  <c r="G31" i="47" l="1"/>
  <c r="G29" i="47"/>
  <c r="G30" i="47"/>
  <c r="G33" i="47"/>
  <c r="G32" i="47"/>
  <c r="C3" i="52"/>
  <c r="D4" i="52"/>
  <c r="D6" i="52" s="1"/>
  <c r="C4" i="52"/>
  <c r="F6" i="52"/>
  <c r="F7" i="52" s="1"/>
  <c r="G6" i="52"/>
  <c r="G7" i="52" s="1"/>
  <c r="I6" i="52"/>
  <c r="I7" i="52" s="1"/>
  <c r="J6" i="52"/>
  <c r="J7" i="52" s="1"/>
  <c r="K6" i="52"/>
  <c r="K7" i="52" s="1"/>
  <c r="L6" i="52"/>
  <c r="L7" i="52" s="1"/>
  <c r="M6" i="52"/>
  <c r="M7" i="52" s="1"/>
  <c r="N6" i="52"/>
  <c r="N7" i="52" s="1"/>
  <c r="O6" i="52"/>
  <c r="O7" i="52" s="1"/>
  <c r="P6" i="52"/>
  <c r="P7" i="52" s="1"/>
  <c r="Q6" i="52"/>
  <c r="Q7" i="52" s="1"/>
  <c r="B6" i="52"/>
  <c r="B7" i="52" s="1"/>
  <c r="AC27" i="47"/>
  <c r="AC25" i="47"/>
  <c r="AC23" i="47"/>
  <c r="AC22" i="47"/>
  <c r="AC19" i="47"/>
  <c r="AC15" i="47"/>
  <c r="AC9" i="47"/>
  <c r="AC8" i="47"/>
  <c r="AC7" i="47"/>
  <c r="AC6" i="47"/>
  <c r="AC5" i="47"/>
  <c r="AC4" i="47"/>
  <c r="F14" i="47"/>
  <c r="H14" i="47" s="1"/>
  <c r="G40" i="47"/>
  <c r="F40" i="47"/>
  <c r="H40" i="47" s="1"/>
  <c r="E43" i="47"/>
  <c r="C6" i="52" l="1"/>
  <c r="Z4" i="47"/>
  <c r="C7" i="52" l="1"/>
  <c r="D7" i="52" s="1"/>
  <c r="E7" i="52" s="1"/>
  <c r="H6" i="52"/>
  <c r="H7" i="52" s="1"/>
  <c r="CB9" i="47"/>
  <c r="BW9" i="47"/>
  <c r="BY9" i="47" s="1"/>
  <c r="BZ9" i="47" s="1"/>
  <c r="BV9" i="47"/>
  <c r="BQ9" i="47"/>
  <c r="BS9" i="47" s="1"/>
  <c r="BT9" i="47" s="1"/>
  <c r="BP9" i="47"/>
  <c r="BK9" i="47"/>
  <c r="BL9" i="47" s="1"/>
  <c r="BJ9" i="47"/>
  <c r="BE9" i="47"/>
  <c r="BG9" i="47" s="1"/>
  <c r="BH9" i="47" s="1"/>
  <c r="BD9" i="47"/>
  <c r="AY9" i="47"/>
  <c r="BA9" i="47" s="1"/>
  <c r="BB9" i="47" s="1"/>
  <c r="AX9" i="47"/>
  <c r="AS9" i="47"/>
  <c r="AT9" i="47" s="1"/>
  <c r="AR9" i="47"/>
  <c r="AN9" i="47"/>
  <c r="AJ9" i="47"/>
  <c r="AF9" i="47"/>
  <c r="AD9" i="47"/>
  <c r="Z9" i="47"/>
  <c r="X9" i="47"/>
  <c r="V9" i="47"/>
  <c r="T9" i="47"/>
  <c r="R9" i="47"/>
  <c r="O9" i="47"/>
  <c r="P9" i="47" s="1"/>
  <c r="N9" i="47"/>
  <c r="L9" i="47"/>
  <c r="I9" i="47"/>
  <c r="J9" i="47" s="1"/>
  <c r="C73" i="17"/>
  <c r="C50" i="17"/>
  <c r="C14" i="17"/>
  <c r="C13" i="17"/>
  <c r="C12" i="17"/>
  <c r="C8" i="17"/>
  <c r="C6" i="17"/>
  <c r="F9" i="47" l="1"/>
  <c r="H9" i="47" s="1"/>
  <c r="AU9" i="47"/>
  <c r="AV9" i="47" s="1"/>
  <c r="BM9" i="47"/>
  <c r="BN9" i="47" s="1"/>
  <c r="AO9" i="47"/>
  <c r="AP9" i="47" s="1"/>
  <c r="BR9" i="47"/>
  <c r="AZ9" i="47"/>
  <c r="AH9" i="47"/>
  <c r="AB9" i="47"/>
  <c r="BX9" i="47"/>
  <c r="BF9" i="47"/>
  <c r="J67" i="17"/>
  <c r="I67" i="17"/>
  <c r="H67" i="17"/>
  <c r="G67" i="17"/>
  <c r="F67" i="17"/>
  <c r="E67" i="17"/>
  <c r="J58" i="17"/>
  <c r="E58" i="17"/>
  <c r="J50" i="17"/>
  <c r="G50" i="17"/>
  <c r="F50" i="17"/>
  <c r="E50" i="17"/>
  <c r="F41" i="17"/>
  <c r="E41" i="17"/>
  <c r="J15" i="17"/>
  <c r="BW27" i="47"/>
  <c r="BY27" i="47" s="1"/>
  <c r="BZ27" i="47" s="1"/>
  <c r="BW26" i="47"/>
  <c r="BY26" i="47" s="1"/>
  <c r="BZ26" i="47" s="1"/>
  <c r="BW25" i="47"/>
  <c r="BY25" i="47" s="1"/>
  <c r="BZ25" i="47" s="1"/>
  <c r="BW24" i="47"/>
  <c r="BY24" i="47" s="1"/>
  <c r="BZ24" i="47" s="1"/>
  <c r="BW23" i="47"/>
  <c r="BY23" i="47" s="1"/>
  <c r="BZ23" i="47" s="1"/>
  <c r="BW22" i="47"/>
  <c r="BX22" i="47" s="1"/>
  <c r="BW21" i="47"/>
  <c r="BY21" i="47" s="1"/>
  <c r="BZ21" i="47" s="1"/>
  <c r="BW20" i="47"/>
  <c r="BY20" i="47" s="1"/>
  <c r="BZ20" i="47" s="1"/>
  <c r="BW19" i="47"/>
  <c r="BY19" i="47" s="1"/>
  <c r="BZ19" i="47" s="1"/>
  <c r="BW18" i="47"/>
  <c r="BY18" i="47" s="1"/>
  <c r="BZ18" i="47" s="1"/>
  <c r="BW17" i="47"/>
  <c r="BY17" i="47" s="1"/>
  <c r="BZ17" i="47" s="1"/>
  <c r="BW16" i="47"/>
  <c r="BY16" i="47" s="1"/>
  <c r="BZ16" i="47" s="1"/>
  <c r="BW15" i="47"/>
  <c r="BX15" i="47" s="1"/>
  <c r="BW28" i="47"/>
  <c r="BY28" i="47" s="1"/>
  <c r="BZ28" i="47" s="1"/>
  <c r="BW10" i="47"/>
  <c r="BY10" i="47" s="1"/>
  <c r="BZ10" i="47" s="1"/>
  <c r="BW8" i="47"/>
  <c r="BY8" i="47" s="1"/>
  <c r="BZ8" i="47" s="1"/>
  <c r="BW7" i="47"/>
  <c r="BX7" i="47" s="1"/>
  <c r="BW6" i="47"/>
  <c r="BX6" i="47" s="1"/>
  <c r="BW5" i="47"/>
  <c r="BY5" i="47" s="1"/>
  <c r="BZ5" i="47" s="1"/>
  <c r="BW4" i="47"/>
  <c r="BX4" i="47" s="1"/>
  <c r="BQ27" i="47"/>
  <c r="BS27" i="47" s="1"/>
  <c r="BT27" i="47" s="1"/>
  <c r="BQ26" i="47"/>
  <c r="BR26" i="47" s="1"/>
  <c r="BQ25" i="47"/>
  <c r="BS25" i="47" s="1"/>
  <c r="BT25" i="47" s="1"/>
  <c r="BQ24" i="47"/>
  <c r="BS24" i="47" s="1"/>
  <c r="BT24" i="47" s="1"/>
  <c r="BQ23" i="47"/>
  <c r="BS23" i="47" s="1"/>
  <c r="BT23" i="47" s="1"/>
  <c r="BQ22" i="47"/>
  <c r="BR22" i="47" s="1"/>
  <c r="BQ21" i="47"/>
  <c r="BS21" i="47" s="1"/>
  <c r="BT21" i="47" s="1"/>
  <c r="BQ20" i="47"/>
  <c r="BS20" i="47" s="1"/>
  <c r="BT20" i="47" s="1"/>
  <c r="BQ19" i="47"/>
  <c r="BS19" i="47" s="1"/>
  <c r="BT19" i="47" s="1"/>
  <c r="BQ18" i="47"/>
  <c r="BS18" i="47" s="1"/>
  <c r="BT18" i="47" s="1"/>
  <c r="BQ17" i="47"/>
  <c r="BS17" i="47" s="1"/>
  <c r="BT17" i="47" s="1"/>
  <c r="BQ16" i="47"/>
  <c r="BS16" i="47" s="1"/>
  <c r="BT16" i="47" s="1"/>
  <c r="BQ15" i="47"/>
  <c r="BS15" i="47" s="1"/>
  <c r="BT15" i="47" s="1"/>
  <c r="BQ28" i="47"/>
  <c r="BS28" i="47" s="1"/>
  <c r="BT28" i="47" s="1"/>
  <c r="BQ10" i="47"/>
  <c r="BS10" i="47" s="1"/>
  <c r="BT10" i="47" s="1"/>
  <c r="BQ8" i="47"/>
  <c r="BS8" i="47" s="1"/>
  <c r="BT8" i="47" s="1"/>
  <c r="BQ7" i="47"/>
  <c r="BS7" i="47" s="1"/>
  <c r="BT7" i="47" s="1"/>
  <c r="BQ6" i="47"/>
  <c r="BR6" i="47" s="1"/>
  <c r="BQ5" i="47"/>
  <c r="BR5" i="47" s="1"/>
  <c r="BQ4" i="47"/>
  <c r="BR4" i="47" s="1"/>
  <c r="BK27" i="47"/>
  <c r="BM27" i="47" s="1"/>
  <c r="BN27" i="47" s="1"/>
  <c r="BK26" i="47"/>
  <c r="BL26" i="47" s="1"/>
  <c r="BK25" i="47"/>
  <c r="BL25" i="47" s="1"/>
  <c r="BK24" i="47"/>
  <c r="BL24" i="47" s="1"/>
  <c r="BK23" i="47"/>
  <c r="BM23" i="47" s="1"/>
  <c r="BN23" i="47" s="1"/>
  <c r="BK22" i="47"/>
  <c r="BL22" i="47" s="1"/>
  <c r="BK21" i="47"/>
  <c r="BM21" i="47" s="1"/>
  <c r="BN21" i="47" s="1"/>
  <c r="BK20" i="47"/>
  <c r="BM20" i="47" s="1"/>
  <c r="BN20" i="47" s="1"/>
  <c r="BK19" i="47"/>
  <c r="BM19" i="47" s="1"/>
  <c r="BN19" i="47" s="1"/>
  <c r="BK18" i="47"/>
  <c r="BL18" i="47" s="1"/>
  <c r="BK17" i="47"/>
  <c r="BM17" i="47" s="1"/>
  <c r="BN17" i="47" s="1"/>
  <c r="BK16" i="47"/>
  <c r="BL16" i="47" s="1"/>
  <c r="BK15" i="47"/>
  <c r="BM15" i="47" s="1"/>
  <c r="BN15" i="47" s="1"/>
  <c r="BK28" i="47"/>
  <c r="BL28" i="47" s="1"/>
  <c r="BK10" i="47"/>
  <c r="BM10" i="47" s="1"/>
  <c r="BN10" i="47" s="1"/>
  <c r="BK8" i="47"/>
  <c r="BM8" i="47" s="1"/>
  <c r="BN8" i="47" s="1"/>
  <c r="BK7" i="47"/>
  <c r="BL7" i="47" s="1"/>
  <c r="BK6" i="47"/>
  <c r="BL6" i="47" s="1"/>
  <c r="BK5" i="47"/>
  <c r="BL5" i="47" s="1"/>
  <c r="BK4" i="47"/>
  <c r="BM4" i="47" s="1"/>
  <c r="BN4" i="47" s="1"/>
  <c r="BE27" i="47"/>
  <c r="BG27" i="47" s="1"/>
  <c r="BH27" i="47" s="1"/>
  <c r="BE26" i="47"/>
  <c r="BG26" i="47" s="1"/>
  <c r="BH26" i="47" s="1"/>
  <c r="BE25" i="47"/>
  <c r="BG25" i="47" s="1"/>
  <c r="BH25" i="47" s="1"/>
  <c r="BE24" i="47"/>
  <c r="BG24" i="47" s="1"/>
  <c r="BH24" i="47" s="1"/>
  <c r="BE23" i="47"/>
  <c r="BG23" i="47" s="1"/>
  <c r="BH23" i="47" s="1"/>
  <c r="BE22" i="47"/>
  <c r="BF22" i="47" s="1"/>
  <c r="BE21" i="47"/>
  <c r="BF21" i="47" s="1"/>
  <c r="BE20" i="47"/>
  <c r="BF20" i="47" s="1"/>
  <c r="BE19" i="47"/>
  <c r="BG19" i="47" s="1"/>
  <c r="BH19" i="47" s="1"/>
  <c r="BE18" i="47"/>
  <c r="BF18" i="47" s="1"/>
  <c r="BE17" i="47"/>
  <c r="BG17" i="47" s="1"/>
  <c r="BH17" i="47" s="1"/>
  <c r="BE16" i="47"/>
  <c r="BF16" i="47" s="1"/>
  <c r="BE15" i="47"/>
  <c r="BG15" i="47" s="1"/>
  <c r="BH15" i="47" s="1"/>
  <c r="BE28" i="47"/>
  <c r="BG28" i="47" s="1"/>
  <c r="BH28" i="47" s="1"/>
  <c r="BE10" i="47"/>
  <c r="BG10" i="47" s="1"/>
  <c r="BH10" i="47" s="1"/>
  <c r="BE8" i="47"/>
  <c r="BG8" i="47" s="1"/>
  <c r="BH8" i="47" s="1"/>
  <c r="BE7" i="47"/>
  <c r="BF7" i="47" s="1"/>
  <c r="BE6" i="47"/>
  <c r="BF6" i="47" s="1"/>
  <c r="BE5" i="47"/>
  <c r="BG5" i="47" s="1"/>
  <c r="BH5" i="47" s="1"/>
  <c r="BE4" i="47"/>
  <c r="BG4" i="47" s="1"/>
  <c r="BH4" i="47" s="1"/>
  <c r="AY27" i="47"/>
  <c r="BA27" i="47" s="1"/>
  <c r="BB27" i="47" s="1"/>
  <c r="AY26" i="47"/>
  <c r="AZ26" i="47" s="1"/>
  <c r="AY25" i="47"/>
  <c r="BA25" i="47" s="1"/>
  <c r="BB25" i="47" s="1"/>
  <c r="AY24" i="47"/>
  <c r="BA24" i="47" s="1"/>
  <c r="BB24" i="47" s="1"/>
  <c r="AY23" i="47"/>
  <c r="BA23" i="47" s="1"/>
  <c r="BB23" i="47" s="1"/>
  <c r="AY22" i="47"/>
  <c r="BA22" i="47" s="1"/>
  <c r="BB22" i="47" s="1"/>
  <c r="AY21" i="47"/>
  <c r="BA21" i="47" s="1"/>
  <c r="BB21" i="47" s="1"/>
  <c r="AY20" i="47"/>
  <c r="BA20" i="47" s="1"/>
  <c r="BB20" i="47" s="1"/>
  <c r="AY19" i="47"/>
  <c r="BA19" i="47" s="1"/>
  <c r="BB19" i="47" s="1"/>
  <c r="AY18" i="47"/>
  <c r="AZ18" i="47" s="1"/>
  <c r="AY17" i="47"/>
  <c r="AZ17" i="47" s="1"/>
  <c r="AY16" i="47"/>
  <c r="BA16" i="47" s="1"/>
  <c r="BB16" i="47" s="1"/>
  <c r="AY15" i="47"/>
  <c r="AZ15" i="47" s="1"/>
  <c r="AY28" i="47"/>
  <c r="BA28" i="47" s="1"/>
  <c r="BB28" i="47" s="1"/>
  <c r="AY10" i="47"/>
  <c r="BA10" i="47" s="1"/>
  <c r="BB10" i="47" s="1"/>
  <c r="AY8" i="47"/>
  <c r="BA8" i="47" s="1"/>
  <c r="BB8" i="47" s="1"/>
  <c r="AY7" i="47"/>
  <c r="AZ7" i="47" s="1"/>
  <c r="AY6" i="47"/>
  <c r="AZ6" i="47" s="1"/>
  <c r="AY5" i="47"/>
  <c r="AZ5" i="47" s="1"/>
  <c r="AY4" i="47"/>
  <c r="BA4" i="47" s="1"/>
  <c r="BB4" i="47" s="1"/>
  <c r="AS27" i="47"/>
  <c r="AU27" i="47" s="1"/>
  <c r="AV27" i="47" s="1"/>
  <c r="AS26" i="47"/>
  <c r="AU26" i="47" s="1"/>
  <c r="AV26" i="47" s="1"/>
  <c r="AS25" i="47"/>
  <c r="AT25" i="47" s="1"/>
  <c r="AS24" i="47"/>
  <c r="AU24" i="47" s="1"/>
  <c r="AV24" i="47" s="1"/>
  <c r="AS23" i="47"/>
  <c r="AU23" i="47" s="1"/>
  <c r="AV23" i="47" s="1"/>
  <c r="AS22" i="47"/>
  <c r="AU22" i="47" s="1"/>
  <c r="AV22" i="47" s="1"/>
  <c r="AS21" i="47"/>
  <c r="AT21" i="47" s="1"/>
  <c r="AS20" i="47"/>
  <c r="AU20" i="47" s="1"/>
  <c r="AV20" i="47" s="1"/>
  <c r="AS19" i="47"/>
  <c r="AU19" i="47" s="1"/>
  <c r="AV19" i="47" s="1"/>
  <c r="AS18" i="47"/>
  <c r="AU18" i="47" s="1"/>
  <c r="AV18" i="47" s="1"/>
  <c r="AS17" i="47"/>
  <c r="AT17" i="47" s="1"/>
  <c r="AS16" i="47"/>
  <c r="AU16" i="47" s="1"/>
  <c r="AV16" i="47" s="1"/>
  <c r="AS15" i="47"/>
  <c r="AU15" i="47" s="1"/>
  <c r="AV15" i="47" s="1"/>
  <c r="AS28" i="47"/>
  <c r="AU28" i="47" s="1"/>
  <c r="AV28" i="47" s="1"/>
  <c r="AS10" i="47"/>
  <c r="AU10" i="47" s="1"/>
  <c r="AV10" i="47" s="1"/>
  <c r="AS8" i="47"/>
  <c r="AU8" i="47" s="1"/>
  <c r="AV8" i="47" s="1"/>
  <c r="AS7" i="47"/>
  <c r="AU7" i="47" s="1"/>
  <c r="AV7" i="47" s="1"/>
  <c r="AS6" i="47"/>
  <c r="AT6" i="47" s="1"/>
  <c r="AS5" i="47"/>
  <c r="AU5" i="47" s="1"/>
  <c r="AV5" i="47" s="1"/>
  <c r="AS4" i="47"/>
  <c r="AU4" i="47" s="1"/>
  <c r="AV4" i="47" s="1"/>
  <c r="AO27" i="47"/>
  <c r="AP27" i="47" s="1"/>
  <c r="AO26" i="47"/>
  <c r="AP26" i="47" s="1"/>
  <c r="AO25" i="47"/>
  <c r="AP25" i="47" s="1"/>
  <c r="AN24" i="47"/>
  <c r="AO23" i="47"/>
  <c r="AP23" i="47" s="1"/>
  <c r="AO22" i="47"/>
  <c r="AP22" i="47" s="1"/>
  <c r="AO21" i="47"/>
  <c r="AP21" i="47" s="1"/>
  <c r="AN20" i="47"/>
  <c r="AO19" i="47"/>
  <c r="AP19" i="47" s="1"/>
  <c r="AO18" i="47"/>
  <c r="AP18" i="47" s="1"/>
  <c r="AN17" i="47"/>
  <c r="AN16" i="47"/>
  <c r="AO15" i="47"/>
  <c r="AP15" i="47" s="1"/>
  <c r="AO28" i="47"/>
  <c r="AP28" i="47" s="1"/>
  <c r="AO8" i="47"/>
  <c r="AP8" i="47" s="1"/>
  <c r="AO7" i="47"/>
  <c r="AP7" i="47" s="1"/>
  <c r="AO6" i="47"/>
  <c r="AP6" i="47" s="1"/>
  <c r="AO4" i="47"/>
  <c r="AP4" i="47" s="1"/>
  <c r="AJ27" i="47"/>
  <c r="AH26" i="47"/>
  <c r="AJ25" i="47"/>
  <c r="AJ24" i="47"/>
  <c r="AJ23" i="47"/>
  <c r="AJ22" i="47"/>
  <c r="AJ21" i="47"/>
  <c r="AH20" i="47"/>
  <c r="AJ19" i="47"/>
  <c r="AJ18" i="47"/>
  <c r="AH17" i="47"/>
  <c r="AJ16" i="47"/>
  <c r="AH15" i="47"/>
  <c r="AJ28" i="47"/>
  <c r="AJ10" i="47"/>
  <c r="AJ8" i="47"/>
  <c r="AJ7" i="47"/>
  <c r="AJ6" i="47"/>
  <c r="AH5" i="47"/>
  <c r="AJ4" i="47"/>
  <c r="AD27" i="47"/>
  <c r="AD26" i="47"/>
  <c r="AD25" i="47"/>
  <c r="AD23" i="47"/>
  <c r="AB22" i="47"/>
  <c r="AD21" i="47"/>
  <c r="AB20" i="47"/>
  <c r="AD19" i="47"/>
  <c r="AD18" i="47"/>
  <c r="AD17" i="47"/>
  <c r="AD15" i="47"/>
  <c r="AD28" i="47"/>
  <c r="AD10" i="47"/>
  <c r="AD8" i="47"/>
  <c r="AB7" i="47"/>
  <c r="AD6" i="47"/>
  <c r="AB5" i="47"/>
  <c r="X25" i="47"/>
  <c r="X22" i="47"/>
  <c r="V21" i="47"/>
  <c r="X18" i="47"/>
  <c r="X17" i="47"/>
  <c r="X16" i="47"/>
  <c r="X8" i="47"/>
  <c r="V7" i="47"/>
  <c r="V5" i="47"/>
  <c r="O27" i="47"/>
  <c r="P27" i="47" s="1"/>
  <c r="O26" i="47"/>
  <c r="P26" i="47" s="1"/>
  <c r="O25" i="47"/>
  <c r="P25" i="47" s="1"/>
  <c r="O24" i="47"/>
  <c r="P24" i="47" s="1"/>
  <c r="O23" i="47"/>
  <c r="P23" i="47" s="1"/>
  <c r="O22" i="47"/>
  <c r="S22" i="47" s="1"/>
  <c r="T22" i="47" s="1"/>
  <c r="O21" i="47"/>
  <c r="P21" i="47" s="1"/>
  <c r="O20" i="47"/>
  <c r="P20" i="47" s="1"/>
  <c r="O19" i="47"/>
  <c r="P19" i="47" s="1"/>
  <c r="O18" i="47"/>
  <c r="P18" i="47" s="1"/>
  <c r="O17" i="47"/>
  <c r="P17" i="47" s="1"/>
  <c r="O16" i="47"/>
  <c r="P16" i="47" s="1"/>
  <c r="O15" i="47"/>
  <c r="P15" i="47" s="1"/>
  <c r="O28" i="47"/>
  <c r="P28" i="47" s="1"/>
  <c r="O10" i="47"/>
  <c r="P10" i="47" s="1"/>
  <c r="O8" i="47"/>
  <c r="P8" i="47" s="1"/>
  <c r="O7" i="47"/>
  <c r="P7" i="47" s="1"/>
  <c r="O6" i="47"/>
  <c r="Q6" i="47" s="1"/>
  <c r="R6" i="47" s="1"/>
  <c r="O5" i="47"/>
  <c r="P5" i="47" s="1"/>
  <c r="O4" i="47"/>
  <c r="P4" i="47" s="1"/>
  <c r="I27" i="47"/>
  <c r="J27" i="47" s="1"/>
  <c r="I26" i="47"/>
  <c r="J26" i="47" s="1"/>
  <c r="I25" i="47"/>
  <c r="J25" i="47" s="1"/>
  <c r="I24" i="47"/>
  <c r="J24" i="47" s="1"/>
  <c r="I23" i="47"/>
  <c r="J23" i="47" s="1"/>
  <c r="I22" i="47"/>
  <c r="J22" i="47" s="1"/>
  <c r="I21" i="47"/>
  <c r="J21" i="47" s="1"/>
  <c r="I20" i="47"/>
  <c r="J20" i="47" s="1"/>
  <c r="I19" i="47"/>
  <c r="J19" i="47" s="1"/>
  <c r="I18" i="47"/>
  <c r="J18" i="47" s="1"/>
  <c r="I17" i="47"/>
  <c r="J17" i="47" s="1"/>
  <c r="I16" i="47"/>
  <c r="J16" i="47" s="1"/>
  <c r="I15" i="47"/>
  <c r="K15" i="47" s="1"/>
  <c r="I10" i="47"/>
  <c r="J10" i="47" s="1"/>
  <c r="I8" i="47"/>
  <c r="J8" i="47" s="1"/>
  <c r="I7" i="47"/>
  <c r="J7" i="47" s="1"/>
  <c r="I6" i="47"/>
  <c r="J6" i="47" s="1"/>
  <c r="I5" i="47"/>
  <c r="J5" i="47" s="1"/>
  <c r="I4" i="47"/>
  <c r="J4" i="47" s="1"/>
  <c r="I28" i="47"/>
  <c r="J28" i="47" s="1"/>
  <c r="CB28" i="47"/>
  <c r="BV28" i="47"/>
  <c r="BP28" i="47"/>
  <c r="BJ28" i="47"/>
  <c r="BD28" i="47"/>
  <c r="AX28" i="47"/>
  <c r="AR28" i="47"/>
  <c r="AF28" i="47"/>
  <c r="Z28" i="47"/>
  <c r="T28" i="47"/>
  <c r="R28" i="47"/>
  <c r="N28" i="47"/>
  <c r="N42" i="47" s="1"/>
  <c r="L28" i="47"/>
  <c r="G41" i="17"/>
  <c r="CB43" i="47"/>
  <c r="BZ43" i="47"/>
  <c r="BX43" i="47"/>
  <c r="CA40" i="47"/>
  <c r="BY40" i="47"/>
  <c r="BW40" i="47"/>
  <c r="CB27" i="47"/>
  <c r="CB26" i="47"/>
  <c r="CB25" i="47"/>
  <c r="CB24" i="47"/>
  <c r="CB23" i="47"/>
  <c r="CB22" i="47"/>
  <c r="CB21" i="47"/>
  <c r="CB20" i="47"/>
  <c r="CB19" i="47"/>
  <c r="CB18" i="47"/>
  <c r="CB17" i="47"/>
  <c r="CB16" i="47"/>
  <c r="CB15" i="47"/>
  <c r="CB10" i="47"/>
  <c r="CB8" i="47"/>
  <c r="CB7" i="47"/>
  <c r="CB6" i="47"/>
  <c r="CB5" i="47"/>
  <c r="CB4" i="47"/>
  <c r="BZ3" i="47"/>
  <c r="BV43" i="47"/>
  <c r="BT43" i="47"/>
  <c r="BR43" i="47"/>
  <c r="BU40" i="47"/>
  <c r="BS40" i="47"/>
  <c r="BQ40" i="47"/>
  <c r="BV27" i="47"/>
  <c r="BV26" i="47"/>
  <c r="BV25" i="47"/>
  <c r="BV24" i="47"/>
  <c r="BV23" i="47"/>
  <c r="BV22" i="47"/>
  <c r="BV21" i="47"/>
  <c r="BV20" i="47"/>
  <c r="BV19" i="47"/>
  <c r="BV18" i="47"/>
  <c r="BV17" i="47"/>
  <c r="BV16" i="47"/>
  <c r="BV15" i="47"/>
  <c r="BV10" i="47"/>
  <c r="BV8" i="47"/>
  <c r="BV7" i="47"/>
  <c r="BV6" i="47"/>
  <c r="BV5" i="47"/>
  <c r="BV4" i="47"/>
  <c r="BT3" i="47"/>
  <c r="BP43" i="47"/>
  <c r="BN43" i="47"/>
  <c r="BL43" i="47"/>
  <c r="BO40" i="47"/>
  <c r="BM40" i="47"/>
  <c r="BK40" i="47"/>
  <c r="BP27" i="47"/>
  <c r="BP26" i="47"/>
  <c r="BP25" i="47"/>
  <c r="BP24" i="47"/>
  <c r="BP23" i="47"/>
  <c r="BP22" i="47"/>
  <c r="BP21" i="47"/>
  <c r="BP20" i="47"/>
  <c r="BP19" i="47"/>
  <c r="BP18" i="47"/>
  <c r="BP17" i="47"/>
  <c r="BP16" i="47"/>
  <c r="BP15" i="47"/>
  <c r="BP10" i="47"/>
  <c r="BP8" i="47"/>
  <c r="BP7" i="47"/>
  <c r="BP6" i="47"/>
  <c r="BP5" i="47"/>
  <c r="BP4" i="47"/>
  <c r="BN3" i="47"/>
  <c r="BJ43" i="47"/>
  <c r="BH43" i="47"/>
  <c r="BF43" i="47"/>
  <c r="BI40" i="47"/>
  <c r="BG40" i="47"/>
  <c r="BE40" i="47"/>
  <c r="BJ27" i="47"/>
  <c r="BJ26" i="47"/>
  <c r="BJ25" i="47"/>
  <c r="BJ24" i="47"/>
  <c r="BJ23" i="47"/>
  <c r="BJ22" i="47"/>
  <c r="BJ21" i="47"/>
  <c r="BJ20" i="47"/>
  <c r="BJ19" i="47"/>
  <c r="BJ18" i="47"/>
  <c r="BJ17" i="47"/>
  <c r="BJ16" i="47"/>
  <c r="BJ15" i="47"/>
  <c r="BJ10" i="47"/>
  <c r="BJ8" i="47"/>
  <c r="BJ7" i="47"/>
  <c r="BJ6" i="47"/>
  <c r="BJ5" i="47"/>
  <c r="BJ4" i="47"/>
  <c r="BH3" i="47"/>
  <c r="AX43" i="47"/>
  <c r="AV43" i="47"/>
  <c r="AT43" i="47"/>
  <c r="AW40" i="47"/>
  <c r="AU40" i="47"/>
  <c r="AS40" i="47"/>
  <c r="AX27" i="47"/>
  <c r="AX26" i="47"/>
  <c r="AX25" i="47"/>
  <c r="AX24" i="47"/>
  <c r="AX23" i="47"/>
  <c r="AX22" i="47"/>
  <c r="AX21" i="47"/>
  <c r="AX20" i="47"/>
  <c r="AX19" i="47"/>
  <c r="AX18" i="47"/>
  <c r="AX17" i="47"/>
  <c r="AX16" i="47"/>
  <c r="AX15" i="47"/>
  <c r="AX10" i="47"/>
  <c r="AX8" i="47"/>
  <c r="AX7" i="47"/>
  <c r="AX6" i="47"/>
  <c r="AX5" i="47"/>
  <c r="AX4" i="47"/>
  <c r="AV3" i="47"/>
  <c r="BD43" i="47"/>
  <c r="BB43" i="47"/>
  <c r="AZ43" i="47"/>
  <c r="BC40" i="47"/>
  <c r="BA40" i="47"/>
  <c r="AY40" i="47"/>
  <c r="BD27" i="47"/>
  <c r="BD26" i="47"/>
  <c r="BD25" i="47"/>
  <c r="BD24" i="47"/>
  <c r="BD23" i="47"/>
  <c r="BD22" i="47"/>
  <c r="BD21" i="47"/>
  <c r="BD20" i="47"/>
  <c r="BD19" i="47"/>
  <c r="BD18" i="47"/>
  <c r="BD17" i="47"/>
  <c r="BD16" i="47"/>
  <c r="BD15" i="47"/>
  <c r="BD10" i="47"/>
  <c r="BD8" i="47"/>
  <c r="BD7" i="47"/>
  <c r="BD6" i="47"/>
  <c r="BD5" i="47"/>
  <c r="BD4" i="47"/>
  <c r="BB3" i="47"/>
  <c r="AR43" i="47"/>
  <c r="AP43" i="47"/>
  <c r="AN43" i="47"/>
  <c r="AQ40" i="47"/>
  <c r="AO40" i="47"/>
  <c r="AM40" i="47"/>
  <c r="AR27" i="47"/>
  <c r="AR26" i="47"/>
  <c r="AR25" i="47"/>
  <c r="AR24" i="47"/>
  <c r="AR23" i="47"/>
  <c r="AR22" i="47"/>
  <c r="AR21" i="47"/>
  <c r="AR20" i="47"/>
  <c r="AR19" i="47"/>
  <c r="AR18" i="47"/>
  <c r="AR17" i="47"/>
  <c r="AR16" i="47"/>
  <c r="AR15" i="47"/>
  <c r="AR10" i="47"/>
  <c r="AR8" i="47"/>
  <c r="AR7" i="47"/>
  <c r="AR6" i="47"/>
  <c r="AR5" i="47"/>
  <c r="AP3" i="47"/>
  <c r="AL43" i="47"/>
  <c r="AJ43" i="47"/>
  <c r="AH43" i="47"/>
  <c r="AK40" i="47"/>
  <c r="AI40" i="47"/>
  <c r="AG40" i="47"/>
  <c r="AJ3" i="47"/>
  <c r="AD24" i="47"/>
  <c r="AD16" i="47"/>
  <c r="AD4" i="47"/>
  <c r="AF43" i="47"/>
  <c r="AD43" i="47"/>
  <c r="AB43" i="47"/>
  <c r="AE40" i="47"/>
  <c r="AC40" i="47"/>
  <c r="AA40" i="47"/>
  <c r="AF27" i="47"/>
  <c r="AF26" i="47"/>
  <c r="AF25" i="47"/>
  <c r="AF24" i="47"/>
  <c r="AF23" i="47"/>
  <c r="AF22" i="47"/>
  <c r="AF21" i="47"/>
  <c r="AF20" i="47"/>
  <c r="AF19" i="47"/>
  <c r="AF18" i="47"/>
  <c r="AF17" i="47"/>
  <c r="AF16" i="47"/>
  <c r="AF15" i="47"/>
  <c r="AF10" i="47"/>
  <c r="AF8" i="47"/>
  <c r="AF7" i="47"/>
  <c r="AF6" i="47"/>
  <c r="AF5" i="47"/>
  <c r="AF4" i="47"/>
  <c r="AD3" i="47"/>
  <c r="Z43" i="47"/>
  <c r="X43" i="47"/>
  <c r="V43" i="47"/>
  <c r="Y40" i="47"/>
  <c r="W40" i="47"/>
  <c r="U40" i="47"/>
  <c r="N43" i="47"/>
  <c r="L43" i="47"/>
  <c r="J43" i="47"/>
  <c r="M40" i="47"/>
  <c r="K40" i="47"/>
  <c r="I40" i="47"/>
  <c r="R43" i="47"/>
  <c r="X24" i="47"/>
  <c r="Z20" i="47"/>
  <c r="X10" i="47"/>
  <c r="Z27" i="47"/>
  <c r="Z25" i="47"/>
  <c r="Z24" i="47"/>
  <c r="Z23" i="47"/>
  <c r="Z21" i="47"/>
  <c r="Z19" i="47"/>
  <c r="Z17" i="47"/>
  <c r="Z16" i="47"/>
  <c r="Z15" i="47"/>
  <c r="Z10" i="47"/>
  <c r="Z8" i="47"/>
  <c r="Z7" i="47"/>
  <c r="Z6" i="47"/>
  <c r="Z5" i="47"/>
  <c r="P3" i="47"/>
  <c r="T3" i="47" s="1"/>
  <c r="F3" i="47" s="1"/>
  <c r="H3" i="47" s="1"/>
  <c r="R15" i="47"/>
  <c r="T15" i="47"/>
  <c r="T10" i="47"/>
  <c r="R10" i="47"/>
  <c r="T8" i="47"/>
  <c r="R8" i="47"/>
  <c r="T7" i="47"/>
  <c r="R7" i="47"/>
  <c r="T4" i="47"/>
  <c r="R4" i="47"/>
  <c r="L10" i="47"/>
  <c r="L5" i="47"/>
  <c r="L4" i="47"/>
  <c r="L8" i="47"/>
  <c r="L7" i="47"/>
  <c r="L6" i="47"/>
  <c r="N10" i="47"/>
  <c r="N8" i="47"/>
  <c r="N7" i="47"/>
  <c r="N6" i="47"/>
  <c r="N5" i="47"/>
  <c r="N4" i="47"/>
  <c r="S40" i="47"/>
  <c r="S14" i="47"/>
  <c r="Q40" i="47"/>
  <c r="Q14" i="47"/>
  <c r="O40" i="47"/>
  <c r="E44" i="47"/>
  <c r="T43" i="47"/>
  <c r="P43" i="47"/>
  <c r="E42" i="47"/>
  <c r="E41" i="47"/>
  <c r="J14" i="47"/>
  <c r="G14" i="47" s="1"/>
  <c r="J3" i="47"/>
  <c r="AR41" i="47" l="1"/>
  <c r="BX26" i="47"/>
  <c r="AO10" i="47"/>
  <c r="AP10" i="47" s="1"/>
  <c r="F28" i="47"/>
  <c r="H28" i="47" s="1"/>
  <c r="G9" i="47"/>
  <c r="F10" i="47"/>
  <c r="H10" i="47" s="1"/>
  <c r="F4" i="47"/>
  <c r="H4" i="47" s="1"/>
  <c r="F7" i="47"/>
  <c r="H7" i="47" s="1"/>
  <c r="F8" i="47"/>
  <c r="H8" i="47" s="1"/>
  <c r="F15" i="47"/>
  <c r="H15" i="47" s="1"/>
  <c r="BX16" i="47"/>
  <c r="BM25" i="47"/>
  <c r="BN25" i="47" s="1"/>
  <c r="BY4" i="47"/>
  <c r="BZ4" i="47" s="1"/>
  <c r="BX24" i="47"/>
  <c r="BM24" i="47"/>
  <c r="BN24" i="47" s="1"/>
  <c r="F22" i="47"/>
  <c r="H22" i="47" s="1"/>
  <c r="F43" i="47"/>
  <c r="H43" i="47" s="1"/>
  <c r="BS4" i="47"/>
  <c r="BT4" i="47" s="1"/>
  <c r="BR16" i="47"/>
  <c r="BY6" i="47"/>
  <c r="BZ6" i="47" s="1"/>
  <c r="BX18" i="47"/>
  <c r="G43" i="47"/>
  <c r="BG7" i="47"/>
  <c r="BH7" i="47" s="1"/>
  <c r="BY15" i="47"/>
  <c r="BZ15" i="47" s="1"/>
  <c r="BF26" i="47"/>
  <c r="BR7" i="47"/>
  <c r="BM22" i="47"/>
  <c r="BN22" i="47" s="1"/>
  <c r="BS26" i="47"/>
  <c r="BT26" i="47" s="1"/>
  <c r="BS22" i="47"/>
  <c r="BT22" i="47" s="1"/>
  <c r="BR28" i="47"/>
  <c r="BX21" i="47"/>
  <c r="BY7" i="47"/>
  <c r="BZ7" i="47" s="1"/>
  <c r="J15" i="47"/>
  <c r="J42" i="47" s="1"/>
  <c r="L3" i="47"/>
  <c r="L41" i="47" s="1"/>
  <c r="AN28" i="47"/>
  <c r="BY22" i="47"/>
  <c r="BZ22" i="47" s="1"/>
  <c r="BM28" i="47"/>
  <c r="BN28" i="47" s="1"/>
  <c r="AZ28" i="47"/>
  <c r="AH28" i="47"/>
  <c r="AT28" i="47"/>
  <c r="AB28" i="47"/>
  <c r="BX28" i="47"/>
  <c r="BF28" i="47"/>
  <c r="BM6" i="47"/>
  <c r="BN6" i="47" s="1"/>
  <c r="BX5" i="47"/>
  <c r="BX17" i="47"/>
  <c r="BX25" i="47"/>
  <c r="BA26" i="47"/>
  <c r="BB26" i="47" s="1"/>
  <c r="BR17" i="47"/>
  <c r="AN26" i="47"/>
  <c r="BR18" i="47"/>
  <c r="CB42" i="47"/>
  <c r="CB41" i="47"/>
  <c r="BA17" i="47"/>
  <c r="BB17" i="47" s="1"/>
  <c r="BS6" i="47"/>
  <c r="BT6" i="47" s="1"/>
  <c r="BR25" i="47"/>
  <c r="BX23" i="47"/>
  <c r="BG16" i="47"/>
  <c r="BH16" i="47" s="1"/>
  <c r="BL15" i="47"/>
  <c r="BS5" i="47"/>
  <c r="BT5" i="47" s="1"/>
  <c r="BX8" i="47"/>
  <c r="BX19" i="47"/>
  <c r="BX27" i="47"/>
  <c r="BR15" i="47"/>
  <c r="BR23" i="47"/>
  <c r="BG18" i="47"/>
  <c r="BH18" i="47" s="1"/>
  <c r="BM26" i="47"/>
  <c r="BN26" i="47" s="1"/>
  <c r="BM18" i="47"/>
  <c r="BN18" i="47" s="1"/>
  <c r="BX10" i="47"/>
  <c r="BX20" i="47"/>
  <c r="BV42" i="47"/>
  <c r="BA5" i="47"/>
  <c r="BB5" i="47" s="1"/>
  <c r="BM16" i="47"/>
  <c r="BN16" i="47" s="1"/>
  <c r="BM7" i="47"/>
  <c r="BN7" i="47" s="1"/>
  <c r="BV41" i="47"/>
  <c r="AZ25" i="47"/>
  <c r="BG6" i="47"/>
  <c r="BH6" i="47" s="1"/>
  <c r="BG22" i="47"/>
  <c r="BH22" i="47" s="1"/>
  <c r="AB26" i="47"/>
  <c r="BL23" i="47"/>
  <c r="BR8" i="47"/>
  <c r="BR19" i="47"/>
  <c r="BR27" i="47"/>
  <c r="BP42" i="47"/>
  <c r="BR24" i="47"/>
  <c r="BR21" i="47"/>
  <c r="BF4" i="47"/>
  <c r="BM5" i="47"/>
  <c r="BN5" i="47" s="1"/>
  <c r="BL17" i="47"/>
  <c r="BR10" i="47"/>
  <c r="BR20" i="47"/>
  <c r="AT20" i="47"/>
  <c r="BL10" i="47"/>
  <c r="BF24" i="47"/>
  <c r="BL4" i="47"/>
  <c r="BP41" i="47"/>
  <c r="BL20" i="47"/>
  <c r="AH4" i="47"/>
  <c r="BL8" i="47"/>
  <c r="BL19" i="47"/>
  <c r="BL27" i="47"/>
  <c r="BL21" i="47"/>
  <c r="BA7" i="47"/>
  <c r="BB7" i="47" s="1"/>
  <c r="BJ41" i="47"/>
  <c r="BF15" i="47"/>
  <c r="AZ22" i="47"/>
  <c r="BF23" i="47"/>
  <c r="BJ42" i="47"/>
  <c r="BF17" i="47"/>
  <c r="BF25" i="47"/>
  <c r="BG20" i="47"/>
  <c r="BH20" i="47" s="1"/>
  <c r="BF5" i="47"/>
  <c r="BG21" i="47"/>
  <c r="BH21" i="47" s="1"/>
  <c r="AN6" i="47"/>
  <c r="BA18" i="47"/>
  <c r="BB18" i="47" s="1"/>
  <c r="AZ23" i="47"/>
  <c r="AT10" i="47"/>
  <c r="AU17" i="47"/>
  <c r="AV17" i="47" s="1"/>
  <c r="BF8" i="47"/>
  <c r="BF19" i="47"/>
  <c r="BF27" i="47"/>
  <c r="AN18" i="47"/>
  <c r="BA15" i="47"/>
  <c r="BB15" i="47" s="1"/>
  <c r="AU21" i="47"/>
  <c r="AV21" i="47" s="1"/>
  <c r="BA6" i="47"/>
  <c r="BB6" i="47" s="1"/>
  <c r="AT22" i="47"/>
  <c r="AU25" i="47"/>
  <c r="AV25" i="47" s="1"/>
  <c r="BF10" i="47"/>
  <c r="AX41" i="47"/>
  <c r="AJ26" i="47"/>
  <c r="AT7" i="47"/>
  <c r="AN4" i="47"/>
  <c r="AT5" i="47"/>
  <c r="AT18" i="47"/>
  <c r="AT26" i="47"/>
  <c r="AX42" i="47"/>
  <c r="AU6" i="47"/>
  <c r="AV6" i="47" s="1"/>
  <c r="AV41" i="47" s="1"/>
  <c r="AH6" i="47"/>
  <c r="AN23" i="47"/>
  <c r="AZ4" i="47"/>
  <c r="AT8" i="47"/>
  <c r="AT19" i="47"/>
  <c r="AT27" i="47"/>
  <c r="AT16" i="47"/>
  <c r="AT24" i="47"/>
  <c r="AT4" i="47"/>
  <c r="AT15" i="47"/>
  <c r="AT23" i="47"/>
  <c r="AJ17" i="47"/>
  <c r="BD42" i="47"/>
  <c r="AH7" i="47"/>
  <c r="BD41" i="47"/>
  <c r="AH18" i="47"/>
  <c r="AH25" i="47"/>
  <c r="AZ20" i="47"/>
  <c r="AZ8" i="47"/>
  <c r="AZ19" i="47"/>
  <c r="AZ27" i="47"/>
  <c r="AO5" i="47"/>
  <c r="AP5" i="47" s="1"/>
  <c r="AZ16" i="47"/>
  <c r="AZ24" i="47"/>
  <c r="AZ21" i="47"/>
  <c r="AR42" i="47"/>
  <c r="AN25" i="47"/>
  <c r="AO17" i="47"/>
  <c r="AP17" i="47" s="1"/>
  <c r="AZ10" i="47"/>
  <c r="AD22" i="47"/>
  <c r="AO16" i="47"/>
  <c r="AP16" i="47" s="1"/>
  <c r="AH22" i="47"/>
  <c r="AO24" i="47"/>
  <c r="AP24" i="47" s="1"/>
  <c r="AN22" i="47"/>
  <c r="AN15" i="47"/>
  <c r="X15" i="47"/>
  <c r="AO20" i="47"/>
  <c r="AP20" i="47" s="1"/>
  <c r="AN8" i="47"/>
  <c r="AN19" i="47"/>
  <c r="AN27" i="47"/>
  <c r="AN21" i="47"/>
  <c r="AJ15" i="47"/>
  <c r="AN10" i="47"/>
  <c r="AL42" i="47"/>
  <c r="AL41" i="47"/>
  <c r="AH23" i="47"/>
  <c r="AB6" i="47"/>
  <c r="AJ5" i="47"/>
  <c r="AJ41" i="47" s="1"/>
  <c r="V10" i="47"/>
  <c r="AJ20" i="47"/>
  <c r="AH8" i="47"/>
  <c r="AH19" i="47"/>
  <c r="AH27" i="47"/>
  <c r="AB15" i="47"/>
  <c r="AH16" i="47"/>
  <c r="AH24" i="47"/>
  <c r="AH21" i="47"/>
  <c r="AB23" i="47"/>
  <c r="AH10" i="47"/>
  <c r="AD7" i="47"/>
  <c r="AF41" i="47"/>
  <c r="AF42" i="47"/>
  <c r="AB25" i="47"/>
  <c r="AB4" i="47"/>
  <c r="AD5" i="47"/>
  <c r="AD20" i="47"/>
  <c r="AB8" i="47"/>
  <c r="AB19" i="47"/>
  <c r="AB24" i="47"/>
  <c r="V8" i="47"/>
  <c r="AB10" i="47"/>
  <c r="N41" i="47"/>
  <c r="N44" i="47" s="1"/>
  <c r="Z41" i="47"/>
  <c r="V15" i="47"/>
  <c r="V25" i="47"/>
  <c r="V17" i="47"/>
  <c r="K19" i="47"/>
  <c r="L19" i="47" s="1"/>
  <c r="K27" i="47"/>
  <c r="L27" i="47" s="1"/>
  <c r="V24" i="47"/>
  <c r="K22" i="47"/>
  <c r="L22" i="47" s="1"/>
  <c r="J41" i="47"/>
  <c r="X7" i="47"/>
  <c r="K21" i="47"/>
  <c r="L21" i="47" s="1"/>
  <c r="L14" i="47"/>
  <c r="X20" i="47"/>
  <c r="K17" i="47"/>
  <c r="L17" i="47" s="1"/>
  <c r="K23" i="47"/>
  <c r="L23" i="47" s="1"/>
  <c r="X21" i="47"/>
  <c r="L15" i="47"/>
  <c r="K24" i="47"/>
  <c r="L24" i="47" s="1"/>
  <c r="K16" i="47"/>
  <c r="L16" i="47" s="1"/>
  <c r="K25" i="47"/>
  <c r="L25" i="47" s="1"/>
  <c r="K20" i="47"/>
  <c r="L20" i="47" s="1"/>
  <c r="K18" i="47"/>
  <c r="L18" i="47" s="1"/>
  <c r="K26" i="47"/>
  <c r="L26" i="47" s="1"/>
  <c r="V20" i="47"/>
  <c r="X5" i="47"/>
  <c r="V6" i="47"/>
  <c r="Z18" i="47"/>
  <c r="Z26" i="47"/>
  <c r="X6" i="47"/>
  <c r="X3" i="47"/>
  <c r="G3" i="47" s="1"/>
  <c r="V19" i="47"/>
  <c r="V23" i="47"/>
  <c r="V27" i="47"/>
  <c r="X19" i="47"/>
  <c r="X23" i="47"/>
  <c r="X27" i="47"/>
  <c r="V18" i="47"/>
  <c r="V22" i="47"/>
  <c r="R3" i="47"/>
  <c r="S6" i="47"/>
  <c r="T6" i="47" s="1"/>
  <c r="F6" i="47" s="1"/>
  <c r="H6" i="47" s="1"/>
  <c r="S23" i="47"/>
  <c r="T23" i="47" s="1"/>
  <c r="F23" i="47" s="1"/>
  <c r="H23" i="47" s="1"/>
  <c r="P6" i="47"/>
  <c r="Q24" i="47"/>
  <c r="R24" i="47" s="1"/>
  <c r="P22" i="47"/>
  <c r="S16" i="47"/>
  <c r="T16" i="47" s="1"/>
  <c r="F16" i="47" s="1"/>
  <c r="H16" i="47" s="1"/>
  <c r="S24" i="47"/>
  <c r="T24" i="47" s="1"/>
  <c r="F24" i="47" s="1"/>
  <c r="H24" i="47" s="1"/>
  <c r="Q17" i="47"/>
  <c r="R17" i="47" s="1"/>
  <c r="Q25" i="47"/>
  <c r="R25" i="47" s="1"/>
  <c r="S17" i="47"/>
  <c r="T17" i="47" s="1"/>
  <c r="F17" i="47" s="1"/>
  <c r="H17" i="47" s="1"/>
  <c r="S25" i="47"/>
  <c r="T25" i="47" s="1"/>
  <c r="F25" i="47" s="1"/>
  <c r="H25" i="47" s="1"/>
  <c r="Q18" i="47"/>
  <c r="R18" i="47" s="1"/>
  <c r="Q26" i="47"/>
  <c r="R26" i="47" s="1"/>
  <c r="S18" i="47"/>
  <c r="T18" i="47" s="1"/>
  <c r="S26" i="47"/>
  <c r="T26" i="47" s="1"/>
  <c r="Q19" i="47"/>
  <c r="R19" i="47" s="1"/>
  <c r="Q27" i="47"/>
  <c r="R27" i="47" s="1"/>
  <c r="S19" i="47"/>
  <c r="T19" i="47" s="1"/>
  <c r="F19" i="47" s="1"/>
  <c r="H19" i="47" s="1"/>
  <c r="S27" i="47"/>
  <c r="T27" i="47" s="1"/>
  <c r="F27" i="47" s="1"/>
  <c r="H27" i="47" s="1"/>
  <c r="Q20" i="47"/>
  <c r="R20" i="47" s="1"/>
  <c r="Q16" i="47"/>
  <c r="R16" i="47" s="1"/>
  <c r="S20" i="47"/>
  <c r="T20" i="47" s="1"/>
  <c r="F20" i="47" s="1"/>
  <c r="H20" i="47" s="1"/>
  <c r="Q21" i="47"/>
  <c r="R21" i="47" s="1"/>
  <c r="S21" i="47"/>
  <c r="T21" i="47" s="1"/>
  <c r="F21" i="47" s="1"/>
  <c r="H21" i="47" s="1"/>
  <c r="Q22" i="47"/>
  <c r="R22" i="47" s="1"/>
  <c r="Q5" i="47"/>
  <c r="R5" i="47" s="1"/>
  <c r="S5" i="47"/>
  <c r="T5" i="47" s="1"/>
  <c r="F5" i="47" s="1"/>
  <c r="H5" i="47" s="1"/>
  <c r="Q23" i="47"/>
  <c r="R23" i="47" s="1"/>
  <c r="AP41" i="47" l="1"/>
  <c r="F26" i="47"/>
  <c r="H26" i="47" s="1"/>
  <c r="G25" i="47"/>
  <c r="G5" i="47"/>
  <c r="G10" i="47"/>
  <c r="G24" i="47"/>
  <c r="G27" i="47"/>
  <c r="G21" i="47"/>
  <c r="G16" i="47"/>
  <c r="G18" i="47"/>
  <c r="G6" i="47"/>
  <c r="AD42" i="47"/>
  <c r="G17" i="47"/>
  <c r="F18" i="47"/>
  <c r="H18" i="47" s="1"/>
  <c r="BZ41" i="47"/>
  <c r="G22" i="47"/>
  <c r="G20" i="47"/>
  <c r="G8" i="47"/>
  <c r="G28" i="47"/>
  <c r="G26" i="47"/>
  <c r="G15" i="47"/>
  <c r="G23" i="47"/>
  <c r="G19" i="47"/>
  <c r="BZ42" i="47"/>
  <c r="G7" i="47"/>
  <c r="G4" i="47"/>
  <c r="BH41" i="47"/>
  <c r="BT42" i="47"/>
  <c r="BH42" i="47"/>
  <c r="BT41" i="47"/>
  <c r="BN42" i="47"/>
  <c r="X42" i="47"/>
  <c r="BN41" i="47"/>
  <c r="X41" i="47"/>
  <c r="CB44" i="47"/>
  <c r="BB42" i="47"/>
  <c r="BX42" i="47"/>
  <c r="BX41" i="47"/>
  <c r="BV44" i="47"/>
  <c r="BP44" i="47"/>
  <c r="BR42" i="47"/>
  <c r="BR41" i="47"/>
  <c r="BB41" i="47"/>
  <c r="BL42" i="47"/>
  <c r="BL41" i="47"/>
  <c r="BJ44" i="47"/>
  <c r="AX44" i="47"/>
  <c r="BF41" i="47"/>
  <c r="AV42" i="47"/>
  <c r="AV44" i="47" s="1"/>
  <c r="BF42" i="47"/>
  <c r="AP42" i="47"/>
  <c r="BD44" i="47"/>
  <c r="AT41" i="47"/>
  <c r="AT42" i="47"/>
  <c r="AJ42" i="47"/>
  <c r="AJ44" i="47" s="1"/>
  <c r="AZ41" i="47"/>
  <c r="AZ42" i="47"/>
  <c r="AN41" i="47"/>
  <c r="AR44" i="47"/>
  <c r="AN42" i="47"/>
  <c r="AH41" i="47"/>
  <c r="AL44" i="47"/>
  <c r="I8" i="17" s="1"/>
  <c r="AH42" i="47"/>
  <c r="AD41" i="47"/>
  <c r="AB41" i="47"/>
  <c r="AB42" i="47"/>
  <c r="AF44" i="47"/>
  <c r="H8" i="17" s="1"/>
  <c r="V41" i="47"/>
  <c r="Z42" i="47"/>
  <c r="Z44" i="47" s="1"/>
  <c r="G8" i="17" s="1"/>
  <c r="R42" i="47"/>
  <c r="V42" i="47"/>
  <c r="J44" i="47"/>
  <c r="R41" i="47"/>
  <c r="L42" i="47"/>
  <c r="L44" i="47" s="1"/>
  <c r="T41" i="47"/>
  <c r="F41" i="47" s="1"/>
  <c r="H41" i="47" s="1"/>
  <c r="P42" i="47"/>
  <c r="P41" i="47"/>
  <c r="T42" i="47"/>
  <c r="I11" i="17" l="1"/>
  <c r="I10" i="17"/>
  <c r="G11" i="17"/>
  <c r="G10" i="17"/>
  <c r="H10" i="17"/>
  <c r="H11" i="17"/>
  <c r="L75" i="17"/>
  <c r="AP44" i="47"/>
  <c r="AD44" i="47"/>
  <c r="BZ44" i="47"/>
  <c r="F42" i="47"/>
  <c r="H42" i="47" s="1"/>
  <c r="G42" i="47"/>
  <c r="G41" i="47"/>
  <c r="BH44" i="47"/>
  <c r="BT44" i="47"/>
  <c r="F44" i="47"/>
  <c r="H44" i="47" s="1"/>
  <c r="BN44" i="47"/>
  <c r="BX44" i="47"/>
  <c r="BW45" i="47" s="1"/>
  <c r="BR44" i="47"/>
  <c r="BQ45" i="47" s="1"/>
  <c r="I45" i="47"/>
  <c r="E6" i="17"/>
  <c r="E7" i="17" s="1"/>
  <c r="BB44" i="47"/>
  <c r="BF44" i="47"/>
  <c r="BL44" i="47"/>
  <c r="BK45" i="47" s="1"/>
  <c r="AZ44" i="47"/>
  <c r="AT44" i="47"/>
  <c r="K6" i="17" s="1"/>
  <c r="V44" i="47"/>
  <c r="AN44" i="47"/>
  <c r="AH44" i="47"/>
  <c r="AB44" i="47"/>
  <c r="X44" i="47"/>
  <c r="R44" i="47"/>
  <c r="P44" i="47"/>
  <c r="F6" i="17" s="1"/>
  <c r="T44" i="47"/>
  <c r="AY45" i="47" l="1"/>
  <c r="L6" i="17"/>
  <c r="J11" i="17"/>
  <c r="J10" i="17"/>
  <c r="BE45" i="47"/>
  <c r="M6" i="17"/>
  <c r="L12" i="17"/>
  <c r="L76" i="17" s="1"/>
  <c r="F7" i="17"/>
  <c r="G44" i="47"/>
  <c r="AS45" i="47"/>
  <c r="AM45" i="47"/>
  <c r="J6" i="17"/>
  <c r="AA45" i="47"/>
  <c r="H6" i="17"/>
  <c r="AG45" i="47"/>
  <c r="I6" i="17"/>
  <c r="U45" i="47"/>
  <c r="G6" i="17"/>
  <c r="O45" i="47"/>
  <c r="L78" i="17" l="1"/>
  <c r="G7" i="17"/>
  <c r="H7" i="17" s="1"/>
  <c r="I7" i="17" s="1"/>
  <c r="J7" i="17" s="1"/>
  <c r="K7" i="17" s="1"/>
  <c r="L7" i="17" s="1"/>
  <c r="M7" i="17" s="1"/>
  <c r="H50" i="17" l="1"/>
  <c r="F17" i="17"/>
  <c r="M18" i="17" l="1"/>
  <c r="F58" i="17"/>
  <c r="G63" i="17"/>
  <c r="M61" i="17"/>
  <c r="M55" i="17"/>
  <c r="M16" i="17"/>
  <c r="E17" i="17"/>
  <c r="G58" i="17" l="1"/>
  <c r="E15" i="17"/>
  <c r="E14" i="17" s="1"/>
  <c r="H12" i="17"/>
  <c r="I12" i="17"/>
  <c r="E12" i="17"/>
  <c r="E13" i="17" l="1"/>
  <c r="E76" i="17"/>
  <c r="E77" i="17" s="1"/>
  <c r="E73" i="17"/>
  <c r="E78" i="17"/>
  <c r="E79" i="17" s="1"/>
  <c r="F12" i="17" l="1"/>
  <c r="M34" i="17"/>
  <c r="F13" i="17" l="1"/>
  <c r="G12" i="17"/>
  <c r="M45" i="17"/>
  <c r="M32" i="17"/>
  <c r="M51" i="17"/>
  <c r="M50" i="17" s="1"/>
  <c r="M17" i="17"/>
  <c r="M42" i="17"/>
  <c r="M44" i="17"/>
  <c r="M43" i="17"/>
  <c r="M39" i="17"/>
  <c r="M30" i="17"/>
  <c r="M25" i="17"/>
  <c r="M26" i="17"/>
  <c r="M35" i="17"/>
  <c r="M66" i="17"/>
  <c r="M63" i="17"/>
  <c r="M58" i="17" s="1"/>
  <c r="M49" i="17"/>
  <c r="M46" i="17"/>
  <c r="M47" i="17"/>
  <c r="J41" i="17"/>
  <c r="I58" i="17"/>
  <c r="H39" i="17"/>
  <c r="H29" i="17"/>
  <c r="H58" i="17"/>
  <c r="M15" i="17" l="1"/>
  <c r="M41" i="17"/>
  <c r="M14" i="17" s="1"/>
  <c r="H41" i="17"/>
  <c r="G13" i="17"/>
  <c r="H13" i="17" s="1"/>
  <c r="I13" i="17" s="1"/>
  <c r="G15" i="17"/>
  <c r="G14" i="17" s="1"/>
  <c r="G78" i="17" s="1"/>
  <c r="J14" i="17"/>
  <c r="H15" i="17"/>
  <c r="I41" i="17"/>
  <c r="I50" i="17"/>
  <c r="F15" i="17"/>
  <c r="F14" i="17" s="1"/>
  <c r="E9" i="17"/>
  <c r="M76" i="17" l="1"/>
  <c r="M78" i="17"/>
  <c r="H14" i="17"/>
  <c r="H78" i="17" s="1"/>
  <c r="I15" i="17"/>
  <c r="I14" i="17" s="1"/>
  <c r="F73" i="17"/>
  <c r="F78" i="17"/>
  <c r="F76" i="17"/>
  <c r="G76" i="17"/>
  <c r="F9" i="17"/>
  <c r="G9" i="17" s="1"/>
  <c r="H9" i="17" s="1"/>
  <c r="I9" i="17" s="1"/>
  <c r="J9" i="17" s="1"/>
  <c r="K9" i="17" s="1"/>
  <c r="L9" i="17" s="1"/>
  <c r="M9" i="17" s="1"/>
  <c r="E75" i="17"/>
  <c r="H76" i="17" l="1"/>
  <c r="G73" i="17"/>
  <c r="F79" i="17"/>
  <c r="I78" i="17"/>
  <c r="I76" i="17"/>
  <c r="J75" i="17"/>
  <c r="H73" i="17" l="1"/>
  <c r="G79" i="17"/>
  <c r="J12" i="17"/>
  <c r="I75" i="17"/>
  <c r="F75" i="17"/>
  <c r="G75" i="17"/>
  <c r="H75" i="17"/>
  <c r="H79" i="17" l="1"/>
  <c r="I73" i="17"/>
  <c r="J13" i="17"/>
  <c r="K13" i="17" s="1"/>
  <c r="L13" i="17" s="1"/>
  <c r="M13" i="17" s="1"/>
  <c r="J76" i="17"/>
  <c r="J78" i="17"/>
  <c r="J73" i="17" l="1"/>
  <c r="K73" i="17" s="1"/>
  <c r="I79" i="17"/>
  <c r="F77" i="17"/>
  <c r="G77" i="17" s="1"/>
  <c r="H77" i="17" s="1"/>
  <c r="I77" i="17" s="1"/>
  <c r="J77" i="17" s="1"/>
  <c r="K77" i="17" s="1"/>
  <c r="L77" i="17" s="1"/>
  <c r="M77" i="17" s="1"/>
  <c r="L73" i="17" l="1"/>
  <c r="L79" i="17" s="1"/>
  <c r="K79" i="17"/>
  <c r="J79" i="17"/>
  <c r="M73" i="17"/>
  <c r="M79" i="17" s="1"/>
</calcChain>
</file>

<file path=xl/sharedStrings.xml><?xml version="1.0" encoding="utf-8"?>
<sst xmlns="http://schemas.openxmlformats.org/spreadsheetml/2006/main" count="1094" uniqueCount="394">
  <si>
    <t>1.1</t>
  </si>
  <si>
    <t>2.1</t>
  </si>
  <si>
    <t>2.2</t>
  </si>
  <si>
    <t>2.3</t>
  </si>
  <si>
    <t>2.4</t>
  </si>
  <si>
    <t>2.5</t>
  </si>
  <si>
    <t>3.1</t>
  </si>
  <si>
    <t>3.2</t>
  </si>
  <si>
    <t>3.3</t>
  </si>
  <si>
    <t>3.4</t>
  </si>
  <si>
    <t>3.5</t>
  </si>
  <si>
    <t>2.1.2</t>
  </si>
  <si>
    <t>2.1.3</t>
  </si>
  <si>
    <t>2.1.5</t>
  </si>
  <si>
    <t>2.1.6</t>
  </si>
  <si>
    <t>2.1.7</t>
  </si>
  <si>
    <t>1.2</t>
  </si>
  <si>
    <t>1.3</t>
  </si>
  <si>
    <t>1.4</t>
  </si>
  <si>
    <t>1.5</t>
  </si>
  <si>
    <t>1.6</t>
  </si>
  <si>
    <t>2.6</t>
  </si>
  <si>
    <t>2.1.10</t>
  </si>
  <si>
    <t>1.7</t>
  </si>
  <si>
    <t>Título / Escopo</t>
  </si>
  <si>
    <t>Valor (Bruto)</t>
  </si>
  <si>
    <t>2.1.8</t>
  </si>
  <si>
    <t>2.1.11</t>
  </si>
  <si>
    <t>RESULTADO ACUMULADO</t>
  </si>
  <si>
    <t>RESULTADO</t>
  </si>
  <si>
    <t>RETENÇÃO CONTRATUAL</t>
  </si>
  <si>
    <t>RESULTADOS</t>
  </si>
  <si>
    <t xml:space="preserve">FORNECIMENTO ANDAIMES </t>
  </si>
  <si>
    <t>2.5.4</t>
  </si>
  <si>
    <t>COMPUTADORES E EQUIPAMENTOS DE TI</t>
  </si>
  <si>
    <t>2.5.3</t>
  </si>
  <si>
    <t xml:space="preserve">FORNECIMENTO EQUIPAMENTO ELÉTRICO </t>
  </si>
  <si>
    <t>2.5.2</t>
  </si>
  <si>
    <t xml:space="preserve">FORNECIMENTO EQUIPAMENTO MECÂNICO </t>
  </si>
  <si>
    <t>2.5.1</t>
  </si>
  <si>
    <t>ALUGUEL OUTROS EQUIPAMENTOS</t>
  </si>
  <si>
    <t>2.4.9</t>
  </si>
  <si>
    <t>ALUGUEL ALPINISMO</t>
  </si>
  <si>
    <t>2.4.8</t>
  </si>
  <si>
    <t>ALUGUEL DE FERRAMENTAS</t>
  </si>
  <si>
    <t>2.4.7</t>
  </si>
  <si>
    <t xml:space="preserve">ALUGUEL ANDAIMES </t>
  </si>
  <si>
    <t>2.4.6</t>
  </si>
  <si>
    <t>ALUGUEL RETROESCAVADEIRA / CAÇAMBA</t>
  </si>
  <si>
    <t>2.4.4</t>
  </si>
  <si>
    <t>ALUGUEL PTA</t>
  </si>
  <si>
    <t>2.4.3</t>
  </si>
  <si>
    <t xml:space="preserve">ALUGUEL GUINDASTES </t>
  </si>
  <si>
    <t>2.4.2</t>
  </si>
  <si>
    <t>ALUGUEL CAMINHÃO MUNCK</t>
  </si>
  <si>
    <t>2.4.1</t>
  </si>
  <si>
    <t>SUBCONTRATAÇÃO CONTROLE DA QUALIDADE</t>
  </si>
  <si>
    <t>SUBCONTRATAÇÃO ANDAIMES</t>
  </si>
  <si>
    <t>SUBCONTRATAÇÃO PINTURA / ISOLAMENTO</t>
  </si>
  <si>
    <t>SUBCONTRATAÇÃO MECÂNICA / ESTRUTURA METÁLICA</t>
  </si>
  <si>
    <t>2.3.7</t>
  </si>
  <si>
    <t>SUBCONTRATAÇÃO CIVIL</t>
  </si>
  <si>
    <t>2.3.5</t>
  </si>
  <si>
    <t>SUBCONTRATAÇÃO DESCARTE DE RESIDUO</t>
  </si>
  <si>
    <t>2.3.4</t>
  </si>
  <si>
    <t>SUBCONTRATAÇÃO PROJETO / DOCUMENTOS</t>
  </si>
  <si>
    <t>2.3.1</t>
  </si>
  <si>
    <t xml:space="preserve">FERRAMENTAL </t>
  </si>
  <si>
    <t>2.2.8</t>
  </si>
  <si>
    <t>2.2.7</t>
  </si>
  <si>
    <t>2.2.6</t>
  </si>
  <si>
    <t xml:space="preserve">MATERIAIS DE PINTURA </t>
  </si>
  <si>
    <t>2.2.5</t>
  </si>
  <si>
    <t xml:space="preserve">MATERIAIS DE CIVIL </t>
  </si>
  <si>
    <t>2.2.4</t>
  </si>
  <si>
    <t xml:space="preserve">MATERIAIS DE ELÉTRICA </t>
  </si>
  <si>
    <t>2.2.3</t>
  </si>
  <si>
    <t xml:space="preserve">MATERIAIS DE MECÂNICA </t>
  </si>
  <si>
    <t>2.2.2</t>
  </si>
  <si>
    <t xml:space="preserve">MATERIAL DE CONSUMO </t>
  </si>
  <si>
    <t>2.2.1</t>
  </si>
  <si>
    <t xml:space="preserve">FRETES E CARRETOS </t>
  </si>
  <si>
    <t>CONTAS DE LUZ / TELEFONE / ÁGUA / ENERGIA / CONDOMÍNIO</t>
  </si>
  <si>
    <t>ALUGUEL DE SALAS / HOSPEDAGEM / ALOJAMENTO</t>
  </si>
  <si>
    <t xml:space="preserve">ALUGUEL DE CONTAINER </t>
  </si>
  <si>
    <t>ESTACIONAMENTO E PEDÁGIO</t>
  </si>
  <si>
    <t xml:space="preserve">COMBUSTÍVEL </t>
  </si>
  <si>
    <t xml:space="preserve">ALUGUEL DE VEÍCULOS LEVES </t>
  </si>
  <si>
    <t xml:space="preserve">MÓVEIS E EQUIPAMENTOS DE ESCRITÓRIO </t>
  </si>
  <si>
    <t>2.1.25</t>
  </si>
  <si>
    <t xml:space="preserve">MATERIAL DE ESCRITÓRIO </t>
  </si>
  <si>
    <t>2.1.24</t>
  </si>
  <si>
    <t>MANUTENÇÃO DO CANTEIRO</t>
  </si>
  <si>
    <t>2.1.23</t>
  </si>
  <si>
    <t>2.1.22</t>
  </si>
  <si>
    <t xml:space="preserve">EXAMES MÉDICOS E DOCUMENTOS </t>
  </si>
  <si>
    <t>2.1.20</t>
  </si>
  <si>
    <t>PLR</t>
  </si>
  <si>
    <t>2.1.19</t>
  </si>
  <si>
    <t>SEGURO DE VIDA</t>
  </si>
  <si>
    <t>2.1.18</t>
  </si>
  <si>
    <t>2.1.16</t>
  </si>
  <si>
    <t>2.1.15</t>
  </si>
  <si>
    <t>2.1.13</t>
  </si>
  <si>
    <t>CAIXINHA</t>
  </si>
  <si>
    <t>CREA / ART</t>
  </si>
  <si>
    <t>CONTRIBUIÇÃO SINDICAL</t>
  </si>
  <si>
    <t xml:space="preserve">RESCISÕES TRABALHISTAS </t>
  </si>
  <si>
    <t>SALÁRIOS ORDENADOS</t>
  </si>
  <si>
    <t>ENCARGOS</t>
  </si>
  <si>
    <t>MÃO DE OBRA - FOPAG</t>
  </si>
  <si>
    <t>2.1.1</t>
  </si>
  <si>
    <t>RETENÇÕES (CONTRATUAL)</t>
  </si>
  <si>
    <t>RETENÇÕES (PIS, COFINS, ISS)</t>
  </si>
  <si>
    <t>RECEITAS</t>
  </si>
  <si>
    <t>PREMISSAS / OBS.</t>
  </si>
  <si>
    <t>FORNECIMENTO EQUIPAMENTO DE HVAC</t>
  </si>
  <si>
    <t>2.1.21</t>
  </si>
  <si>
    <t>Saldo (Bruto)</t>
  </si>
  <si>
    <t>EPIS / UNIFORMES / TREINAMENTOS</t>
  </si>
  <si>
    <t>NºSS</t>
  </si>
  <si>
    <t>ID</t>
  </si>
  <si>
    <t>HVAC / SDAI / ACUSTICA / VISUAL</t>
  </si>
  <si>
    <t>MATERIAIS DE IMPERMEABILIZAÇÃO / ESPECIAL</t>
  </si>
  <si>
    <t>EDIVIT</t>
  </si>
  <si>
    <t>UTGC</t>
  </si>
  <si>
    <t>2.1.4</t>
  </si>
  <si>
    <t>2.1.9</t>
  </si>
  <si>
    <t>2.1.12</t>
  </si>
  <si>
    <t>2.1.14</t>
  </si>
  <si>
    <t>2.1.17</t>
  </si>
  <si>
    <t>SS-14/2025</t>
  </si>
  <si>
    <t>SS-15/2025</t>
  </si>
  <si>
    <t>SS-16/2025</t>
  </si>
  <si>
    <t>-</t>
  </si>
  <si>
    <t>23-0496-ES</t>
  </si>
  <si>
    <t>23-0052-ES</t>
  </si>
  <si>
    <t>ADEQUAÇÃO DOS SANITÁRIOS COLETIVOS - TORRES LESTE E OESTE</t>
  </si>
  <si>
    <t>MANUTENÇÃO DAS TORRES DE RESFRIAMENTO</t>
  </si>
  <si>
    <t>SUBSTITUIÇÃO DOS ISOLAMENTOS ACÚSTICOS NA CENTRAL DE UTILIDADES</t>
  </si>
  <si>
    <t>%</t>
  </si>
  <si>
    <t>TOMADOR</t>
  </si>
  <si>
    <t>SS-4/2025</t>
  </si>
  <si>
    <t>SS-5/2025</t>
  </si>
  <si>
    <t>SS-6/2025</t>
  </si>
  <si>
    <t>SS-7/2025</t>
  </si>
  <si>
    <t>SS-9/2025</t>
  </si>
  <si>
    <t>SS-11/2025</t>
  </si>
  <si>
    <t>SS-12/2025</t>
  </si>
  <si>
    <t>24-0651-ES</t>
  </si>
  <si>
    <t>23-0706-ES</t>
  </si>
  <si>
    <t>23-0803-ES</t>
  </si>
  <si>
    <t>23-710B-ES</t>
  </si>
  <si>
    <t>23-0707-ES</t>
  </si>
  <si>
    <t>21-0007-ES</t>
  </si>
  <si>
    <t>22-0496-ES</t>
  </si>
  <si>
    <t>MONTAGEM DO GALPÃO DA UPGN-2</t>
  </si>
  <si>
    <t>MANUTENÇÃO DO GALPÃO SECGN</t>
  </si>
  <si>
    <t>MANUTENÇÃO DO GALPÃO K-14</t>
  </si>
  <si>
    <t>MANUTENÇÃO DO GALPÃO UPGN-3</t>
  </si>
  <si>
    <t>DESMONTAGEM DO GALPÃO DA UPCGN-1</t>
  </si>
  <si>
    <t>CONSTRUÇÃO DE ÁREA DE ESTOQUE DE MATERIAIS</t>
  </si>
  <si>
    <t>ADMINISTRAÇÃO LOCAL (ITEM 1.2 E 1.3)</t>
  </si>
  <si>
    <t>PREV</t>
  </si>
  <si>
    <t>REAL</t>
  </si>
  <si>
    <t>TOTAL GERAL</t>
  </si>
  <si>
    <t>CONTROLE DE SS - PREVISÃO DE FATURAMENTO</t>
  </si>
  <si>
    <t>RELAÇÃO C/R</t>
  </si>
  <si>
    <t>RELAÇÃO C/R ACUMULADA</t>
  </si>
  <si>
    <t>23-0291-ES</t>
  </si>
  <si>
    <t>SS-17/2025</t>
  </si>
  <si>
    <t>ADEQUAÇÃO DA LUMINOSIDADE EXTERNA DO EDIVIT</t>
  </si>
  <si>
    <t>SS-8/2025</t>
  </si>
  <si>
    <t>SS-10/2025</t>
  </si>
  <si>
    <t>SS-18/2025</t>
  </si>
  <si>
    <t>23-0713-ES</t>
  </si>
  <si>
    <t>24-0096-ES</t>
  </si>
  <si>
    <t>24-1110-ES</t>
  </si>
  <si>
    <t>MANUTENÇÃO DO GALPÃO DE BOMBAS DE TRANSFERÊNCIA DE GLP PARA TABR</t>
  </si>
  <si>
    <t>MANUTENÇÃO DO GALPÃO K-02</t>
  </si>
  <si>
    <t>REFORMA DA COBERTURA DO K-04</t>
  </si>
  <si>
    <t>ADEQUAÇÃO DA SALA DE MONITORAMENTO CISC</t>
  </si>
  <si>
    <t>SINALIZAÇÃO DAS ESCADAS</t>
  </si>
  <si>
    <t>SS-19/2025</t>
  </si>
  <si>
    <t>REGAP</t>
  </si>
  <si>
    <t>ADMINISTRAÇÃO LOCAL (ITEM 1.2 E 1.3) + IMPLANTAÇÃO (ITEM 1)</t>
  </si>
  <si>
    <t>% Real</t>
  </si>
  <si>
    <t>% Prev</t>
  </si>
  <si>
    <t>2.3.2</t>
  </si>
  <si>
    <t>2.3.3</t>
  </si>
  <si>
    <t>2.3.6</t>
  </si>
  <si>
    <t>SS-20/2025</t>
  </si>
  <si>
    <t>SS-21/2025</t>
  </si>
  <si>
    <t>SS-23/2025</t>
  </si>
  <si>
    <t>ATENUAÇÃO DE RUÍDOS NAS TORRES DE RESFRIAMENTO</t>
  </si>
  <si>
    <t>SS-24/2025</t>
  </si>
  <si>
    <t>23-0316-ES</t>
  </si>
  <si>
    <t>24-0087-ES</t>
  </si>
  <si>
    <t>DISPONIBILIZAÇÃO DE CONTAINER ESCRITÓRIO</t>
  </si>
  <si>
    <t>ADEQUAÇÃO DA ILUMINAÇÃO VIÁRIA</t>
  </si>
  <si>
    <t>REMOÇÃO DAS TELHAS DE PROTEÇÃO DOS PAINÉIS DO K21 E K40</t>
  </si>
  <si>
    <t>Nº  SS</t>
  </si>
  <si>
    <t>TÍTULO DA SS</t>
  </si>
  <si>
    <t>SET.25</t>
  </si>
  <si>
    <t>OUT.25</t>
  </si>
  <si>
    <t>NOV.25</t>
  </si>
  <si>
    <t>DEZ.25</t>
  </si>
  <si>
    <t>JAN.26</t>
  </si>
  <si>
    <t>FEV.26</t>
  </si>
  <si>
    <t>MAR.26</t>
  </si>
  <si>
    <t>ABR.26</t>
  </si>
  <si>
    <t>MAI.26</t>
  </si>
  <si>
    <t>JUN.26</t>
  </si>
  <si>
    <t>JUL.26</t>
  </si>
  <si>
    <t>AGO.26</t>
  </si>
  <si>
    <t>SET.26</t>
  </si>
  <si>
    <t>OUT.26</t>
  </si>
  <si>
    <t>NOV.26</t>
  </si>
  <si>
    <t>DEZ.26</t>
  </si>
  <si>
    <t>SS-22/2025</t>
  </si>
  <si>
    <t>&gt;&gt;&gt;&gt;&gt;&gt;&gt;</t>
  </si>
  <si>
    <t>PROJEÇÃO DE MEDIÇÃO</t>
  </si>
  <si>
    <t>%Check</t>
  </si>
  <si>
    <t xml:space="preserve">%Check </t>
  </si>
  <si>
    <t>PLAN</t>
  </si>
  <si>
    <t>MOB</t>
  </si>
  <si>
    <t>ETP.01</t>
  </si>
  <si>
    <t>ETP.02</t>
  </si>
  <si>
    <t>ETP.03</t>
  </si>
  <si>
    <t>ETP.04</t>
  </si>
  <si>
    <t>ETP.05</t>
  </si>
  <si>
    <t>ETP.06</t>
  </si>
  <si>
    <t>ETP.07</t>
  </si>
  <si>
    <t>ETP.08</t>
  </si>
  <si>
    <t>ETP.09</t>
  </si>
  <si>
    <t>ETP.10</t>
  </si>
  <si>
    <t>ENTR.</t>
  </si>
  <si>
    <t>LEGENDA:</t>
  </si>
  <si>
    <t>SANITÁRIOS</t>
  </si>
  <si>
    <t>TORRE RESFR</t>
  </si>
  <si>
    <t>ACÚSTICO</t>
  </si>
  <si>
    <t>LUMINOSIDADE</t>
  </si>
  <si>
    <t>SALA CISC</t>
  </si>
  <si>
    <t>SINALIZAÇÃO ESC</t>
  </si>
  <si>
    <t>DISP. CONTÊINER</t>
  </si>
  <si>
    <t>ILUM. VIÁRIA</t>
  </si>
  <si>
    <t>UTGSUL</t>
  </si>
  <si>
    <t>RMV. TELHAS</t>
  </si>
  <si>
    <t>RUÍDOS TORRE RESF</t>
  </si>
  <si>
    <t>TEND</t>
  </si>
  <si>
    <t>21-0418-ES</t>
  </si>
  <si>
    <t>SS-25/2025</t>
  </si>
  <si>
    <t>SUBSTITUIÇÃO DAS LINHAS DE ABASTECIMENTO DE ÁGUA DE POÇO TUBULARES</t>
  </si>
  <si>
    <t>CGO - CONTROLE GERENCIAL DE OBRA</t>
  </si>
  <si>
    <t>X</t>
  </si>
  <si>
    <t>XX</t>
  </si>
  <si>
    <t>Nº CONTRATO: 5900.0131538.25.2 | Nº SAP: 4600684819</t>
  </si>
  <si>
    <t>OBJETO: SERVIÇOS DE REVITALIZAÇÃO E REFORMAS DE CONSTRUÇÃO CIVIL E INFRAESTRUTURAS</t>
  </si>
  <si>
    <t>GERÊNCIA: GEISON BEZERRA</t>
  </si>
  <si>
    <t>DESCRIÇÃO</t>
  </si>
  <si>
    <t>Total Geral</t>
  </si>
  <si>
    <t>CUSTOS - EQUIPE E CANTEIRO DE OBRAS</t>
  </si>
  <si>
    <t>RECEITA - PREVISÃO</t>
  </si>
  <si>
    <t>RECEITA - BRUTA TOTAL</t>
  </si>
  <si>
    <t>RECEITA - BRUTA TOTAL ACUMULADA</t>
  </si>
  <si>
    <t>RECEITA - LÍQUIDA</t>
  </si>
  <si>
    <t xml:space="preserve">Set/25 </t>
  </si>
  <si>
    <t xml:space="preserve">Out/25 </t>
  </si>
  <si>
    <t xml:space="preserve">Nov/25 </t>
  </si>
  <si>
    <t xml:space="preserve">Dez/25 </t>
  </si>
  <si>
    <t xml:space="preserve">Jan/26 </t>
  </si>
  <si>
    <t xml:space="preserve">Fev/26 </t>
  </si>
  <si>
    <t>CUSTOS - ACUMULADOS</t>
  </si>
  <si>
    <t>CUSTOS - MATERIAIS E FERRAMENTAS</t>
  </si>
  <si>
    <t>CUSTOS - SUBCONTRATAÇÕES</t>
  </si>
  <si>
    <t>CUSTOS - ALUGUEL DE EQUIPAMENTOS</t>
  </si>
  <si>
    <t>CUSTOS - FORNECIMENTOS ESPECIAIS</t>
  </si>
  <si>
    <t>RECEITA - LÍQUIDA ACUM</t>
  </si>
  <si>
    <t>Rótulos de Coluna</t>
  </si>
  <si>
    <t>Valores</t>
  </si>
  <si>
    <t>TIPO</t>
  </si>
  <si>
    <t>RECEITA</t>
  </si>
  <si>
    <t>CUSTOS</t>
  </si>
  <si>
    <t>CUSTOS - MATERIAIS E FERR</t>
  </si>
  <si>
    <t>CUSTOS - ALUGUEL DE EQUIP</t>
  </si>
  <si>
    <t>CUSTOS - FORNEC ESPECIAIS</t>
  </si>
  <si>
    <t>DESCRIÇÃO DO TIPO</t>
  </si>
  <si>
    <t>CUSTOS - TOTAIS</t>
  </si>
  <si>
    <t>CUSTOS - EQUIPE E CANTEIRO</t>
  </si>
  <si>
    <t>VALOR CONTR: 
R$ 208.960.051,80</t>
  </si>
  <si>
    <t>RECEITA - BRUTA TOTAL ACUM</t>
  </si>
  <si>
    <t>24-1106-ES</t>
  </si>
  <si>
    <t>ADEQUAÇÃO DA SALA DE MONITORAMENTO N1 CISC</t>
  </si>
  <si>
    <t>ABAST POÇO</t>
  </si>
  <si>
    <t>VALOR</t>
  </si>
  <si>
    <t>GESTÃO (ADM LOCAL)</t>
  </si>
  <si>
    <t>MOBILIZAÇÃO [20%]</t>
  </si>
  <si>
    <t>EXECUÇÃO DE SERVIÇOS</t>
  </si>
  <si>
    <t>TOTAL</t>
  </si>
  <si>
    <t>EXECUÇÃO DE SERVIÇOS [70%]</t>
  </si>
  <si>
    <t>APROV. PLANEJAMENTO [10%]</t>
  </si>
  <si>
    <t>RECEITA - PREVISÃO ACUMULADA</t>
  </si>
  <si>
    <t>TOTAL ACUMULADO</t>
  </si>
  <si>
    <t>1.8</t>
  </si>
  <si>
    <t>SS-26/2025</t>
  </si>
  <si>
    <t>SS-27/2025</t>
  </si>
  <si>
    <t>SS-28/2025</t>
  </si>
  <si>
    <t>SS-29/2025</t>
  </si>
  <si>
    <t>SS-30/2025</t>
  </si>
  <si>
    <t>SS-31/2025</t>
  </si>
  <si>
    <t>24-0307-ES</t>
  </si>
  <si>
    <t>23-0735-ES</t>
  </si>
  <si>
    <t>23-0831-ES</t>
  </si>
  <si>
    <t>25-0395-ES</t>
  </si>
  <si>
    <t>25-0147-ES</t>
  </si>
  <si>
    <t>MANUTENÇÃO DO GALPÃO K-23</t>
  </si>
  <si>
    <t>MANUTENÇÃO DO GALPÃO K-12</t>
  </si>
  <si>
    <t>MANUTENÇÃO DO GALPÃO K-48</t>
  </si>
  <si>
    <t>INTERVENÇÃO NAS INFILTRAÇÕES DA COBERTURA PRÉDIO ADMINISTRATIVO</t>
  </si>
  <si>
    <t>ADEQUAÇÃO NA ÁREA DA NOVA PORTARIA</t>
  </si>
  <si>
    <t>VALE ALIMENTAÇÃO / ALIMENTAÇÃO</t>
  </si>
  <si>
    <t>TRANSPORTE / VT</t>
  </si>
  <si>
    <t>PLANO DE SAÚDE / ODONTOLOGICO</t>
  </si>
  <si>
    <t>GALPÃO K-23</t>
  </si>
  <si>
    <t>GALPÃO K-12</t>
  </si>
  <si>
    <t>GALPÃO K-48</t>
  </si>
  <si>
    <t>COBERTURA K-32</t>
  </si>
  <si>
    <t>PISO ELEVADO</t>
  </si>
  <si>
    <t>ADEQUAÇÃO PORTARIA</t>
  </si>
  <si>
    <t>GALPÃO UPGN-2</t>
  </si>
  <si>
    <t>GALPÃO SECGN</t>
  </si>
  <si>
    <t>GALPÃO K-14</t>
  </si>
  <si>
    <t>GALPÃO K-15</t>
  </si>
  <si>
    <t>GALPÃO K-02</t>
  </si>
  <si>
    <t>GALPÃO UPGN-3</t>
  </si>
  <si>
    <t>SALA K-04</t>
  </si>
  <si>
    <t>GALPÃO UPCGN-1</t>
  </si>
  <si>
    <t>GALPÃO ESTOQUE</t>
  </si>
  <si>
    <t>SS-04/2025</t>
  </si>
  <si>
    <t>SS-05/2025</t>
  </si>
  <si>
    <t>SS-06/2025</t>
  </si>
  <si>
    <t>SS-07/2025</t>
  </si>
  <si>
    <t>SS-08/2025</t>
  </si>
  <si>
    <t>SS-09/2025</t>
  </si>
  <si>
    <t>SS-32/2025</t>
  </si>
  <si>
    <t>SS-33/2025</t>
  </si>
  <si>
    <t>SS-01/2026</t>
  </si>
  <si>
    <t>JAN.27</t>
  </si>
  <si>
    <t>FEV.27</t>
  </si>
  <si>
    <t>MAR.27</t>
  </si>
  <si>
    <t>ABR.27</t>
  </si>
  <si>
    <t>MAI.27</t>
  </si>
  <si>
    <t>JUN.27</t>
  </si>
  <si>
    <t>JUL.27</t>
  </si>
  <si>
    <t>AGO.27</t>
  </si>
  <si>
    <t>GALPÃO UPCGN-2</t>
  </si>
  <si>
    <t>PISO ELEVADO - PORTARIA</t>
  </si>
  <si>
    <t>CANTEIRO DA INOVA</t>
  </si>
  <si>
    <t>SS-01/2025</t>
  </si>
  <si>
    <t>SS-02/2025</t>
  </si>
  <si>
    <t>SS-03/2025</t>
  </si>
  <si>
    <t>ADEQUAÇÕES DO GALPÃO UPCGN-2</t>
  </si>
  <si>
    <t>PREPARAÇÃO DE ÁREA PARA INSTALAÇÃO DO CANTEIRO DA INOVA</t>
  </si>
  <si>
    <t>21-0008-ES</t>
  </si>
  <si>
    <t>ADEQUAÇÃO DE PISO ELEVADO NO CENTRO DE SAÚDE</t>
  </si>
  <si>
    <t>24-0666-ES</t>
  </si>
  <si>
    <t>ADEQUAÇÕES EM PISO ELEVADO - PORTARIAS</t>
  </si>
  <si>
    <t>24-0669-ES</t>
  </si>
  <si>
    <t xml:space="preserve">Mar/26 </t>
  </si>
  <si>
    <t>13° SALÁRIO/FÉRIAS/CESTAS</t>
  </si>
  <si>
    <t>FASE</t>
  </si>
  <si>
    <t>ADM</t>
  </si>
  <si>
    <t>APROV. PLANEJAMENTO</t>
  </si>
  <si>
    <t>MOBILIZAÇÃO</t>
  </si>
  <si>
    <t>SERV</t>
  </si>
  <si>
    <t>TOTAL &gt;&gt;&gt;</t>
  </si>
  <si>
    <t>TOTAL ACUMULADO &gt;&gt;&gt;</t>
  </si>
  <si>
    <t>SS-02/2026</t>
  </si>
  <si>
    <t>SS-03/2026</t>
  </si>
  <si>
    <t>SS-04/2026</t>
  </si>
  <si>
    <t>DEPÓSITO DE PIG K-34</t>
  </si>
  <si>
    <t>GALPÃO K-56</t>
  </si>
  <si>
    <t>GALPÃO K-26</t>
  </si>
  <si>
    <t>Coluna1</t>
  </si>
  <si>
    <t>ETP.11</t>
  </si>
  <si>
    <t>23-0736-ES</t>
  </si>
  <si>
    <t>23-0828-ES</t>
  </si>
  <si>
    <t>24-0653-ES</t>
  </si>
  <si>
    <t>MANUTENÇÃO DO DEPÓSITO DE PIG K-34</t>
  </si>
  <si>
    <t>MANUTENÇÃO DO GALPÃO K-56</t>
  </si>
  <si>
    <t>REFORMA DO TELHADO DO K-26</t>
  </si>
  <si>
    <t>(Vários itens)</t>
  </si>
  <si>
    <t xml:space="preserve">Abr/26 </t>
  </si>
  <si>
    <t xml:space="preserve">Mai/26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</si>
</sst>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R$&quot;\ * #,##0.00_-;\-&quot;R$&quot;\ * #,##0.00_-;_-&quot;R$&quot;\ * &quot;-&quot;??_-;_-@_-"/>
    <numFmt numFmtId="43" formatCode="_-* #,##0.00_-;\-* #,##0.00_-;_-* &quot;-&quot;??_-;_-@_-"/>
    <numFmt numFmtId="164" formatCode="_(* #,##0.00_);_(* \(#,##0.00\);_(* &quot;-&quot;??_);_(@_)"/>
    <numFmt numFmtId="165" formatCode="&quot;R$&quot;#,##0.00"/>
    <numFmt numFmtId="166" formatCode="_(&quot;R$ &quot;* #,##0.00_);_(&quot;R$ &quot;* \(#,##0.00\);_(&quot;R$ &quot;* &quot;-&quot;??_);_(@_)"/>
    <numFmt numFmtId="167" formatCode="_([$€-2]* #,##0.00_);_([$€-2]* \(#,##0.00\);_([$€-2]* &quot;-&quot;??_)"/>
    <numFmt numFmtId="168" formatCode="0.0%"/>
    <numFmt numFmtId="169" formatCode="&quot;R$&quot;\ #,##0.00"/>
    <numFmt numFmtId="170" formatCode="dd/mm/yy;@"/>
    <numFmt numFmtId="171" formatCode="&quot;DATA: &quot;dd/mm/yyyy"/>
  </numFmts>
  <fonts count="82"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Calibri"/>
      <family val="2"/>
      <scheme val="minor"/>
    </font>
    <font>
      <b/>
      <sz val="10"/>
      <name val="Calibri"/>
      <family val="2"/>
      <scheme val="minor"/>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u/>
      <sz val="8.5"/>
      <color indexed="12"/>
      <name val="Arial"/>
      <family val="2"/>
    </font>
    <font>
      <sz val="11"/>
      <color indexed="62"/>
      <name val="Calibri"/>
      <family val="2"/>
    </font>
    <font>
      <sz val="11"/>
      <color indexed="10"/>
      <name val="Calibri"/>
      <family val="2"/>
    </font>
    <font>
      <sz val="11"/>
      <color indexed="19"/>
      <name val="Calibri"/>
      <family val="2"/>
    </font>
    <font>
      <sz val="10"/>
      <name val="Times New Roman"/>
      <family val="1"/>
      <charset val="204"/>
    </font>
    <font>
      <b/>
      <sz val="11"/>
      <color indexed="63"/>
      <name val="Calibri"/>
      <family val="2"/>
    </font>
    <font>
      <b/>
      <sz val="18"/>
      <color indexed="62"/>
      <name val="Cambria"/>
      <family val="2"/>
    </font>
    <font>
      <sz val="8"/>
      <name val="Arial"/>
      <family val="2"/>
    </font>
    <font>
      <b/>
      <sz val="16"/>
      <color theme="0"/>
      <name val="Calibri"/>
      <family val="2"/>
      <scheme val="minor"/>
    </font>
    <font>
      <sz val="10"/>
      <color rgb="FF000000"/>
      <name val="Calibri"/>
      <family val="2"/>
      <scheme val="minor"/>
    </font>
    <font>
      <sz val="10"/>
      <name val="Arial"/>
      <family val="2"/>
    </font>
    <font>
      <u/>
      <sz val="10"/>
      <color indexed="12"/>
      <name val="Arial"/>
      <family val="2"/>
    </font>
    <font>
      <sz val="10"/>
      <color indexed="8"/>
      <name val="Arial"/>
      <family val="2"/>
    </font>
    <font>
      <sz val="10"/>
      <color rgb="FF000000"/>
      <name val="Times New Roman"/>
      <family val="1"/>
    </font>
    <font>
      <sz val="10"/>
      <name val="Arial"/>
      <family val="2"/>
    </font>
    <font>
      <sz val="8"/>
      <color theme="1"/>
      <name val="Calibri"/>
      <family val="2"/>
      <scheme val="minor"/>
    </font>
    <font>
      <sz val="8"/>
      <color rgb="FF000000"/>
      <name val="Calibri"/>
      <family val="2"/>
      <scheme val="minor"/>
    </font>
    <font>
      <b/>
      <sz val="8"/>
      <name val="Calibri"/>
      <family val="2"/>
      <scheme val="minor"/>
    </font>
    <font>
      <b/>
      <sz val="8"/>
      <color rgb="FF002060"/>
      <name val="Calibri"/>
      <family val="2"/>
      <scheme val="minor"/>
    </font>
    <font>
      <b/>
      <sz val="10"/>
      <color rgb="FF002060"/>
      <name val="Calibri"/>
      <family val="2"/>
      <scheme val="minor"/>
    </font>
    <font>
      <sz val="10"/>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theme="6" tint="-0.499984740745262"/>
      <name val="Calibri"/>
      <family val="2"/>
      <scheme val="minor"/>
    </font>
    <font>
      <b/>
      <sz val="11"/>
      <color theme="3" tint="-0.499984740745262"/>
      <name val="Calibri"/>
      <family val="2"/>
      <scheme val="minor"/>
    </font>
    <font>
      <sz val="11"/>
      <color theme="3" tint="-0.499984740745262"/>
      <name val="Calibri"/>
      <family val="2"/>
      <scheme val="minor"/>
    </font>
    <font>
      <sz val="11"/>
      <color theme="4" tint="-0.499984740745262"/>
      <name val="Calibri"/>
      <family val="2"/>
      <scheme val="minor"/>
    </font>
    <font>
      <b/>
      <sz val="10"/>
      <color theme="0"/>
      <name val="Calibri"/>
      <family val="2"/>
      <scheme val="minor"/>
    </font>
    <font>
      <b/>
      <sz val="8"/>
      <color theme="0"/>
      <name val="Calibri"/>
      <family val="2"/>
      <scheme val="minor"/>
    </font>
    <font>
      <sz val="8"/>
      <name val="Calibri"/>
      <family val="2"/>
      <scheme val="minor"/>
    </font>
    <font>
      <b/>
      <sz val="11"/>
      <color theme="4" tint="-0.499984740745262"/>
      <name val="Calibri"/>
      <family val="2"/>
      <scheme val="minor"/>
    </font>
    <font>
      <b/>
      <sz val="10"/>
      <color theme="0"/>
      <name val="Arial"/>
      <family val="2"/>
    </font>
    <font>
      <b/>
      <sz val="10"/>
      <name val="Arial"/>
      <family val="2"/>
    </font>
    <font>
      <sz val="11"/>
      <name val="Calibri"/>
      <family val="2"/>
    </font>
    <font>
      <b/>
      <sz val="11"/>
      <name val="Calibri"/>
      <family val="2"/>
      <scheme val="minor"/>
    </font>
  </fonts>
  <fills count="54">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4" tint="-0.499984740745262"/>
        <bgColor indexed="64"/>
      </patternFill>
    </fill>
    <fill>
      <patternFill patternType="solid">
        <fgColor theme="0" tint="-0.14999847407452621"/>
        <bgColor indexed="64"/>
      </patternFill>
    </fill>
    <fill>
      <patternFill patternType="solid">
        <fgColor theme="0"/>
        <bgColor indexed="64"/>
      </patternFill>
    </fill>
    <fill>
      <patternFill patternType="solid">
        <fgColor indexed="31"/>
        <bgColor indexed="64"/>
      </patternFill>
    </fill>
    <fill>
      <patternFill patternType="solid">
        <fgColor indexed="3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1"/>
        <bgColor indexed="64"/>
      </patternFill>
    </fill>
    <fill>
      <patternFill patternType="solid">
        <fgColor theme="3"/>
        <bgColor indexed="64"/>
      </patternFill>
    </fill>
    <fill>
      <patternFill patternType="solid">
        <fgColor theme="9"/>
        <bgColor indexed="64"/>
      </patternFill>
    </fill>
    <fill>
      <patternFill patternType="solid">
        <fgColor theme="4"/>
        <bgColor theme="4"/>
      </patternFill>
    </fill>
    <fill>
      <patternFill patternType="solid">
        <fgColor rgb="FFFFA7A7"/>
        <bgColor indexed="64"/>
      </patternFill>
    </fill>
    <fill>
      <patternFill patternType="solid">
        <fgColor theme="9" tint="0.39997558519241921"/>
        <bgColor indexed="64"/>
      </patternFill>
    </fill>
    <fill>
      <patternFill patternType="solid">
        <fgColor rgb="FF9C0006"/>
        <bgColor indexed="64"/>
      </patternFill>
    </fill>
    <fill>
      <patternFill patternType="solid">
        <fgColor rgb="FF7030A0"/>
        <bgColor indexed="64"/>
      </patternFill>
    </fill>
    <fill>
      <patternFill patternType="solid">
        <fgColor rgb="FF11FF7D"/>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rgb="FFBF95DF"/>
        <bgColor indexed="64"/>
      </patternFill>
    </fill>
    <fill>
      <patternFill patternType="solid">
        <fgColor rgb="FFC9FDE5"/>
        <bgColor indexed="64"/>
      </patternFill>
    </fill>
    <fill>
      <patternFill patternType="solid">
        <fgColor rgb="FF00B0F0"/>
        <bgColor indexed="64"/>
      </patternFill>
    </fill>
    <fill>
      <patternFill patternType="solid">
        <fgColor theme="9" tint="0.79998168889431442"/>
        <bgColor indexed="64"/>
      </patternFill>
    </fill>
    <fill>
      <patternFill patternType="solid">
        <fgColor theme="7"/>
        <bgColor indexed="64"/>
      </patternFill>
    </fill>
    <fill>
      <patternFill patternType="solid">
        <fgColor rgb="FFE4E905"/>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theme="4"/>
        <bgColor indexed="64"/>
      </patternFill>
    </fill>
    <fill>
      <patternFill patternType="solid">
        <fgColor theme="3" tint="0.59999389629810485"/>
        <bgColor indexed="64"/>
      </patternFill>
    </fill>
    <fill>
      <patternFill patternType="solid">
        <fgColor rgb="FFFF0000"/>
        <bgColor indexed="64"/>
      </patternFill>
    </fill>
    <fill>
      <patternFill patternType="solid">
        <fgColor rgb="FF00B050"/>
        <bgColor indexed="64"/>
      </patternFill>
    </fill>
    <fill>
      <patternFill patternType="solid">
        <fgColor rgb="FF00E668"/>
        <bgColor indexed="64"/>
      </patternFill>
    </fill>
  </fills>
  <borders count="7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hair">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right/>
      <top/>
      <bottom style="thick">
        <color theme="0"/>
      </bottom>
      <diagonal/>
    </border>
    <border>
      <left style="thin">
        <color theme="0"/>
      </left>
      <right/>
      <top/>
      <bottom style="thick">
        <color theme="0"/>
      </bottom>
      <diagonal/>
    </border>
    <border>
      <left/>
      <right/>
      <top style="thin">
        <color theme="0"/>
      </top>
      <bottom style="thin">
        <color theme="0"/>
      </bottom>
      <diagonal/>
    </border>
    <border>
      <left style="thin">
        <color theme="0"/>
      </left>
      <right/>
      <top style="thin">
        <color theme="0"/>
      </top>
      <bottom style="thin">
        <color theme="0"/>
      </bottom>
      <diagonal/>
    </border>
    <border>
      <left/>
      <right/>
      <top/>
      <bottom style="hair">
        <color indexed="64"/>
      </bottom>
      <diagonal/>
    </border>
    <border>
      <left style="hair">
        <color indexed="64"/>
      </left>
      <right style="thin">
        <color indexed="64"/>
      </right>
      <top style="medium">
        <color indexed="64"/>
      </top>
      <bottom style="thin">
        <color theme="0" tint="-0.34998626667073579"/>
      </bottom>
      <diagonal/>
    </border>
    <border>
      <left style="thin">
        <color indexed="64"/>
      </left>
      <right style="thin">
        <color indexed="64"/>
      </right>
      <top style="medium">
        <color indexed="64"/>
      </top>
      <bottom style="thin">
        <color theme="0" tint="-0.34998626667073579"/>
      </bottom>
      <diagonal/>
    </border>
    <border>
      <left style="thin">
        <color indexed="64"/>
      </left>
      <right style="medium">
        <color indexed="64"/>
      </right>
      <top style="medium">
        <color indexed="64"/>
      </top>
      <bottom style="thin">
        <color theme="0" tint="-0.34998626667073579"/>
      </bottom>
      <diagonal/>
    </border>
    <border>
      <left style="hair">
        <color indexed="64"/>
      </left>
      <right style="thin">
        <color indexed="64"/>
      </right>
      <top style="thin">
        <color theme="0" tint="-0.34998626667073579"/>
      </top>
      <bottom style="thin">
        <color theme="0" tint="-0.34998626667073579"/>
      </bottom>
      <diagonal/>
    </border>
    <border>
      <left style="thin">
        <color indexed="64"/>
      </left>
      <right style="thin">
        <color indexed="64"/>
      </right>
      <top style="thin">
        <color theme="0" tint="-0.34998626667073579"/>
      </top>
      <bottom style="thin">
        <color theme="0" tint="-0.34998626667073579"/>
      </bottom>
      <diagonal/>
    </border>
    <border>
      <left style="thin">
        <color indexed="64"/>
      </left>
      <right style="medium">
        <color indexed="64"/>
      </right>
      <top style="thin">
        <color theme="0" tint="-0.34998626667073579"/>
      </top>
      <bottom style="thin">
        <color theme="0" tint="-0.34998626667073579"/>
      </bottom>
      <diagonal/>
    </border>
    <border>
      <left style="thin">
        <color indexed="64"/>
      </left>
      <right style="thin">
        <color indexed="64"/>
      </right>
      <top style="thin">
        <color theme="0" tint="-0.34998626667073579"/>
      </top>
      <bottom style="thin">
        <color auto="1"/>
      </bottom>
      <diagonal/>
    </border>
    <border>
      <left style="hair">
        <color indexed="64"/>
      </left>
      <right/>
      <top/>
      <bottom/>
      <diagonal/>
    </border>
    <border>
      <left style="thin">
        <color indexed="64"/>
      </left>
      <right style="thin">
        <color indexed="64"/>
      </right>
      <top style="thin">
        <color indexed="64"/>
      </top>
      <bottom style="thin">
        <color theme="0" tint="-0.34998626667073579"/>
      </bottom>
      <diagonal/>
    </border>
    <border>
      <left style="thin">
        <color indexed="64"/>
      </left>
      <right style="medium">
        <color indexed="64"/>
      </right>
      <top style="thin">
        <color indexed="64"/>
      </top>
      <bottom style="thin">
        <color theme="0" tint="-0.34998626667073579"/>
      </bottom>
      <diagonal/>
    </border>
    <border>
      <left style="thin">
        <color indexed="64"/>
      </left>
      <right style="thin">
        <color indexed="64"/>
      </right>
      <top style="thin">
        <color theme="0" tint="-0.34998626667073579"/>
      </top>
      <bottom style="medium">
        <color indexed="64"/>
      </bottom>
      <diagonal/>
    </border>
    <border>
      <left style="thin">
        <color indexed="64"/>
      </left>
      <right style="medium">
        <color indexed="64"/>
      </right>
      <top style="thin">
        <color theme="0" tint="-0.34998626667073579"/>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thin">
        <color theme="0" tint="-0.34998626667073579"/>
      </bottom>
      <diagonal/>
    </border>
    <border>
      <left/>
      <right style="thin">
        <color indexed="64"/>
      </right>
      <top style="medium">
        <color indexed="64"/>
      </top>
      <bottom style="thin">
        <color theme="0" tint="-0.34998626667073579"/>
      </bottom>
      <diagonal/>
    </border>
    <border>
      <left style="thin">
        <color indexed="64"/>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top style="thin">
        <color theme="0" tint="-0.34998626667073579"/>
      </top>
      <bottom style="thin">
        <color theme="0" tint="-0.34998626667073579"/>
      </bottom>
      <diagonal/>
    </border>
    <border>
      <left/>
      <right style="thin">
        <color indexed="64"/>
      </right>
      <top style="thin">
        <color theme="0" tint="-0.34998626667073579"/>
      </top>
      <bottom style="thin">
        <color theme="0" tint="-0.34998626667073579"/>
      </bottom>
      <diagonal/>
    </border>
    <border>
      <left style="thin">
        <color indexed="64"/>
      </left>
      <right/>
      <top style="thin">
        <color theme="0" tint="-0.34998626667073579"/>
      </top>
      <bottom style="thin">
        <color theme="0" tint="-0.34998626667073579"/>
      </bottom>
      <diagonal/>
    </border>
    <border>
      <left/>
      <right style="medium">
        <color indexed="64"/>
      </right>
      <top style="thin">
        <color theme="0" tint="-0.34998626667073579"/>
      </top>
      <bottom style="thin">
        <color theme="0" tint="-0.34998626667073579"/>
      </bottom>
      <diagonal/>
    </border>
    <border>
      <left style="medium">
        <color indexed="64"/>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indexed="64"/>
      </left>
      <right/>
      <top style="thin">
        <color theme="0" tint="-0.34998626667073579"/>
      </top>
      <bottom style="thin">
        <color indexed="64"/>
      </bottom>
      <diagonal/>
    </border>
    <border>
      <left/>
      <right style="medium">
        <color indexed="64"/>
      </right>
      <top style="thin">
        <color theme="0" tint="-0.34998626667073579"/>
      </top>
      <bottom style="thin">
        <color indexed="64"/>
      </bottom>
      <diagonal/>
    </border>
    <border>
      <left style="medium">
        <color indexed="64"/>
      </left>
      <right/>
      <top/>
      <bottom style="thin">
        <color theme="0" tint="-0.34998626667073579"/>
      </bottom>
      <diagonal/>
    </border>
    <border>
      <left/>
      <right style="thin">
        <color indexed="64"/>
      </right>
      <top/>
      <bottom style="thin">
        <color theme="0" tint="-0.34998626667073579"/>
      </bottom>
      <diagonal/>
    </border>
    <border>
      <left style="thin">
        <color indexed="64"/>
      </left>
      <right/>
      <top/>
      <bottom style="thin">
        <color theme="0" tint="-0.34998626667073579"/>
      </bottom>
      <diagonal/>
    </border>
    <border>
      <left/>
      <right style="medium">
        <color indexed="64"/>
      </right>
      <top/>
      <bottom style="thin">
        <color theme="0" tint="-0.34998626667073579"/>
      </bottom>
      <diagonal/>
    </border>
    <border>
      <left style="medium">
        <color indexed="64"/>
      </left>
      <right/>
      <top style="thin">
        <color theme="0" tint="-0.34998626667073579"/>
      </top>
      <bottom/>
      <diagonal/>
    </border>
    <border>
      <left/>
      <right style="thin">
        <color indexed="64"/>
      </right>
      <top style="thin">
        <color theme="0" tint="-0.34998626667073579"/>
      </top>
      <bottom/>
      <diagonal/>
    </border>
    <border>
      <left style="thin">
        <color indexed="64"/>
      </left>
      <right/>
      <top style="thin">
        <color theme="0" tint="-0.34998626667073579"/>
      </top>
      <bottom/>
      <diagonal/>
    </border>
    <border>
      <left/>
      <right style="medium">
        <color indexed="64"/>
      </right>
      <top style="thin">
        <color theme="0" tint="-0.34998626667073579"/>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auto="1"/>
      </right>
      <top/>
      <bottom/>
      <diagonal/>
    </border>
    <border>
      <left style="thin">
        <color theme="0"/>
      </left>
      <right style="thin">
        <color theme="0"/>
      </right>
      <top style="thin">
        <color theme="0"/>
      </top>
      <bottom style="thin">
        <color theme="0"/>
      </bottom>
      <diagonal/>
    </border>
    <border>
      <left/>
      <right style="thin">
        <color theme="0"/>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96">
    <xf numFmtId="0" fontId="0" fillId="0" borderId="0"/>
    <xf numFmtId="0" fontId="31" fillId="0" borderId="0"/>
    <xf numFmtId="9" fontId="31" fillId="0" borderId="0" applyFont="0" applyFill="0" applyBorder="0" applyAlignment="0" applyProtection="0"/>
    <xf numFmtId="164" fontId="31" fillId="0" borderId="0" applyFont="0" applyFill="0" applyBorder="0" applyAlignment="0" applyProtection="0"/>
    <xf numFmtId="0" fontId="34" fillId="2" borderId="0" applyNumberFormat="0" applyBorder="0" applyAlignment="0" applyProtection="0"/>
    <xf numFmtId="0" fontId="34" fillId="3" borderId="0" applyNumberFormat="0" applyBorder="0" applyAlignment="0" applyProtection="0"/>
    <xf numFmtId="0" fontId="34" fillId="4" borderId="0" applyNumberFormat="0" applyBorder="0" applyAlignment="0" applyProtection="0"/>
    <xf numFmtId="0" fontId="34" fillId="5" borderId="0" applyNumberFormat="0" applyBorder="0" applyAlignment="0" applyProtection="0"/>
    <xf numFmtId="0" fontId="34" fillId="6" borderId="0" applyNumberFormat="0" applyBorder="0" applyAlignment="0" applyProtection="0"/>
    <xf numFmtId="0" fontId="34" fillId="4" borderId="0" applyNumberFormat="0" applyBorder="0" applyAlignment="0" applyProtection="0"/>
    <xf numFmtId="0" fontId="34" fillId="6" borderId="0" applyNumberFormat="0" applyBorder="0" applyAlignment="0" applyProtection="0"/>
    <xf numFmtId="0" fontId="34" fillId="3" borderId="0" applyNumberFormat="0" applyBorder="0" applyAlignment="0" applyProtection="0"/>
    <xf numFmtId="0" fontId="34" fillId="7" borderId="0" applyNumberFormat="0" applyBorder="0" applyAlignment="0" applyProtection="0"/>
    <xf numFmtId="0" fontId="34" fillId="8" borderId="0" applyNumberFormat="0" applyBorder="0" applyAlignment="0" applyProtection="0"/>
    <xf numFmtId="0" fontId="34" fillId="6" borderId="0" applyNumberFormat="0" applyBorder="0" applyAlignment="0" applyProtection="0"/>
    <xf numFmtId="0" fontId="34" fillId="4" borderId="0" applyNumberFormat="0" applyBorder="0" applyAlignment="0" applyProtection="0"/>
    <xf numFmtId="0" fontId="35" fillId="6"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8" borderId="0" applyNumberFormat="0" applyBorder="0" applyAlignment="0" applyProtection="0"/>
    <xf numFmtId="0" fontId="35" fillId="6" borderId="0" applyNumberFormat="0" applyBorder="0" applyAlignment="0" applyProtection="0"/>
    <xf numFmtId="0" fontId="35" fillId="3" borderId="0" applyNumberFormat="0" applyBorder="0" applyAlignment="0" applyProtection="0"/>
    <xf numFmtId="0" fontId="35" fillId="11"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12"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6" fillId="15" borderId="0" applyNumberFormat="0" applyBorder="0" applyAlignment="0" applyProtection="0"/>
    <xf numFmtId="0" fontId="37" fillId="16" borderId="6" applyNumberFormat="0" applyAlignment="0" applyProtection="0"/>
    <xf numFmtId="0" fontId="38" fillId="17" borderId="7" applyNumberFormat="0" applyAlignment="0" applyProtection="0"/>
    <xf numFmtId="0" fontId="31" fillId="0" borderId="0"/>
    <xf numFmtId="0" fontId="39" fillId="0" borderId="0" applyNumberFormat="0" applyFill="0" applyBorder="0" applyAlignment="0" applyProtection="0"/>
    <xf numFmtId="0" fontId="40" fillId="6" borderId="0" applyNumberFormat="0" applyBorder="0" applyAlignment="0" applyProtection="0"/>
    <xf numFmtId="0" fontId="41" fillId="0" borderId="8" applyNumberFormat="0" applyFill="0" applyAlignment="0" applyProtection="0"/>
    <xf numFmtId="0" fontId="42" fillId="0" borderId="9" applyNumberFormat="0" applyFill="0" applyAlignment="0" applyProtection="0"/>
    <xf numFmtId="0" fontId="43" fillId="0" borderId="10" applyNumberFormat="0" applyFill="0" applyAlignment="0" applyProtection="0"/>
    <xf numFmtId="0" fontId="43" fillId="0" borderId="0" applyNumberFormat="0" applyFill="0" applyBorder="0" applyAlignment="0" applyProtection="0"/>
    <xf numFmtId="0" fontId="44" fillId="0" borderId="0" applyNumberFormat="0" applyFill="0" applyBorder="0" applyAlignment="0" applyProtection="0">
      <alignment vertical="top"/>
      <protection locked="0"/>
    </xf>
    <xf numFmtId="0" fontId="45" fillId="7" borderId="6" applyNumberFormat="0" applyAlignment="0" applyProtection="0"/>
    <xf numFmtId="0" fontId="46" fillId="0" borderId="11" applyNumberFormat="0" applyFill="0" applyAlignment="0" applyProtection="0"/>
    <xf numFmtId="44" fontId="31" fillId="0" borderId="0" applyFont="0" applyFill="0" applyBorder="0" applyAlignment="0" applyProtection="0"/>
    <xf numFmtId="0" fontId="47" fillId="7" borderId="0" applyNumberFormat="0" applyBorder="0" applyAlignment="0" applyProtection="0"/>
    <xf numFmtId="0" fontId="31" fillId="0" borderId="0"/>
    <xf numFmtId="0" fontId="31" fillId="0" borderId="0"/>
    <xf numFmtId="0" fontId="48" fillId="0" borderId="0" applyNumberFormat="0" applyFill="0" applyBorder="0" applyProtection="0">
      <alignment vertical="top" wrapText="1"/>
    </xf>
    <xf numFmtId="0" fontId="30" fillId="0" borderId="0"/>
    <xf numFmtId="0" fontId="31" fillId="0" borderId="0"/>
    <xf numFmtId="0" fontId="31" fillId="4" borderId="12" applyNumberFormat="0" applyFont="0" applyAlignment="0" applyProtection="0"/>
    <xf numFmtId="0" fontId="49" fillId="16" borderId="13" applyNumberFormat="0" applyAlignment="0" applyProtection="0"/>
    <xf numFmtId="9" fontId="34" fillId="0" borderId="0" applyFont="0" applyFill="0" applyBorder="0" applyAlignment="0" applyProtection="0"/>
    <xf numFmtId="9" fontId="31" fillId="0" borderId="0" applyFont="0" applyFill="0" applyBorder="0" applyAlignment="0" applyProtection="0"/>
    <xf numFmtId="9" fontId="30" fillId="0" borderId="0" applyFont="0" applyFill="0" applyBorder="0" applyAlignment="0" applyProtection="0"/>
    <xf numFmtId="164" fontId="30" fillId="0" borderId="0" applyFont="0" applyFill="0" applyBorder="0" applyAlignment="0" applyProtection="0"/>
    <xf numFmtId="0" fontId="50" fillId="0" borderId="0" applyNumberFormat="0" applyFill="0" applyBorder="0" applyAlignment="0" applyProtection="0"/>
    <xf numFmtId="43" fontId="31" fillId="0" borderId="0" applyFont="0" applyFill="0" applyBorder="0" applyAlignment="0" applyProtection="0"/>
    <xf numFmtId="164" fontId="31" fillId="0" borderId="0" applyFont="0" applyFill="0" applyBorder="0" applyAlignment="0" applyProtection="0"/>
    <xf numFmtId="43" fontId="31" fillId="0" borderId="0" applyFont="0" applyFill="0" applyBorder="0" applyAlignment="0" applyProtection="0"/>
    <xf numFmtId="0" fontId="46" fillId="0" borderId="0" applyNumberFormat="0" applyFill="0" applyBorder="0" applyAlignment="0" applyProtection="0"/>
    <xf numFmtId="43" fontId="31" fillId="0" borderId="0" applyFont="0" applyFill="0" applyBorder="0" applyAlignment="0" applyProtection="0"/>
    <xf numFmtId="0" fontId="29" fillId="0" borderId="0"/>
    <xf numFmtId="43" fontId="29" fillId="0" borderId="0" applyFont="0" applyFill="0" applyBorder="0" applyAlignment="0" applyProtection="0"/>
    <xf numFmtId="9" fontId="29" fillId="0" borderId="0" applyFont="0" applyFill="0" applyBorder="0" applyAlignment="0" applyProtection="0"/>
    <xf numFmtId="44" fontId="29" fillId="0" borderId="0" applyFont="0" applyFill="0" applyBorder="0" applyAlignment="0" applyProtection="0"/>
    <xf numFmtId="0" fontId="28" fillId="0" borderId="0"/>
    <xf numFmtId="43" fontId="28" fillId="0" borderId="0" applyFont="0" applyFill="0" applyBorder="0" applyAlignment="0" applyProtection="0"/>
    <xf numFmtId="0" fontId="27" fillId="0" borderId="0"/>
    <xf numFmtId="9" fontId="27" fillId="0" borderId="0" applyFont="0" applyFill="0" applyBorder="0" applyAlignment="0" applyProtection="0"/>
    <xf numFmtId="0" fontId="26" fillId="0" borderId="0"/>
    <xf numFmtId="9" fontId="26" fillId="0" borderId="0" applyFont="0" applyFill="0" applyBorder="0" applyAlignment="0" applyProtection="0"/>
    <xf numFmtId="0" fontId="25" fillId="0" borderId="0"/>
    <xf numFmtId="9" fontId="25" fillId="0" borderId="0" applyFont="0" applyFill="0" applyBorder="0" applyAlignment="0" applyProtection="0"/>
    <xf numFmtId="0" fontId="24" fillId="0" borderId="0"/>
    <xf numFmtId="9" fontId="24" fillId="0" borderId="0" applyFont="0" applyFill="0" applyBorder="0" applyAlignment="0" applyProtection="0"/>
    <xf numFmtId="0" fontId="54" fillId="0" borderId="0"/>
    <xf numFmtId="0" fontId="54" fillId="0" borderId="0" applyNumberFormat="0" applyFont="0" applyFill="0" applyBorder="0" applyAlignment="0" applyProtection="0"/>
    <xf numFmtId="167" fontId="31" fillId="0" borderId="0" applyFont="0" applyFill="0" applyBorder="0" applyAlignment="0" applyProtection="0"/>
    <xf numFmtId="0" fontId="34" fillId="0" borderId="0"/>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44"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0" fontId="31" fillId="0" borderId="0"/>
    <xf numFmtId="0" fontId="31" fillId="0" borderId="0"/>
    <xf numFmtId="0" fontId="31" fillId="0" borderId="0"/>
    <xf numFmtId="0" fontId="31" fillId="0" borderId="0"/>
    <xf numFmtId="0" fontId="23"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23" fillId="0" borderId="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23"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4"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0" fontId="31" fillId="21" borderId="13" applyNumberFormat="0" applyProtection="0">
      <alignment horizontal="left" vertical="center" indent="1"/>
    </xf>
    <xf numFmtId="4" fontId="56" fillId="22" borderId="13" applyNumberFormat="0" applyProtection="0">
      <alignment horizontal="right" vertical="center"/>
    </xf>
    <xf numFmtId="0" fontId="31" fillId="21" borderId="13" applyNumberFormat="0" applyProtection="0">
      <alignment horizontal="left" vertical="center" indent="1"/>
    </xf>
    <xf numFmtId="0" fontId="31" fillId="21" borderId="13" applyNumberFormat="0" applyProtection="0">
      <alignment horizontal="left" vertical="center" indent="1"/>
    </xf>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23"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0" fontId="23" fillId="0" borderId="0"/>
    <xf numFmtId="44"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0" fontId="23" fillId="0" borderId="0"/>
    <xf numFmtId="0" fontId="23" fillId="0" borderId="0"/>
    <xf numFmtId="9" fontId="31" fillId="0" borderId="0" applyFont="0" applyFill="0" applyBorder="0" applyAlignment="0" applyProtection="0"/>
    <xf numFmtId="9" fontId="31" fillId="0" borderId="0" applyFont="0" applyFill="0" applyBorder="0" applyAlignment="0" applyProtection="0"/>
    <xf numFmtId="9" fontId="23"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23"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0" fontId="31" fillId="0" borderId="0"/>
    <xf numFmtId="0" fontId="23" fillId="0" borderId="0"/>
    <xf numFmtId="9" fontId="23" fillId="0" borderId="0" applyFont="0" applyFill="0" applyBorder="0" applyAlignment="0" applyProtection="0"/>
    <xf numFmtId="0" fontId="23" fillId="0" borderId="0"/>
    <xf numFmtId="0" fontId="23" fillId="0" borderId="0"/>
    <xf numFmtId="9"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0" fontId="23" fillId="0" borderId="0"/>
    <xf numFmtId="44" fontId="31" fillId="0" borderId="0" applyFont="0" applyFill="0" applyBorder="0" applyAlignment="0" applyProtection="0"/>
    <xf numFmtId="0" fontId="23" fillId="0" borderId="0"/>
    <xf numFmtId="0" fontId="23" fillId="0" borderId="0"/>
    <xf numFmtId="9" fontId="23"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23"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0" fontId="23" fillId="0" borderId="0"/>
    <xf numFmtId="9" fontId="23" fillId="0" borderId="0" applyFont="0" applyFill="0" applyBorder="0" applyAlignment="0" applyProtection="0"/>
    <xf numFmtId="0" fontId="57" fillId="0" borderId="0"/>
    <xf numFmtId="0" fontId="31" fillId="0" borderId="0"/>
    <xf numFmtId="0" fontId="31" fillId="0" borderId="0"/>
    <xf numFmtId="0" fontId="31" fillId="0" borderId="0"/>
    <xf numFmtId="0" fontId="23" fillId="0" borderId="0"/>
    <xf numFmtId="0" fontId="23" fillId="0" borderId="0"/>
    <xf numFmtId="44" fontId="23" fillId="0" borderId="0" applyFont="0" applyFill="0" applyBorder="0" applyAlignment="0" applyProtection="0"/>
    <xf numFmtId="0" fontId="23" fillId="0" borderId="0"/>
    <xf numFmtId="43" fontId="31" fillId="0" borderId="0" applyFont="0" applyFill="0" applyBorder="0" applyAlignment="0" applyProtection="0"/>
    <xf numFmtId="0" fontId="23" fillId="0" borderId="0"/>
    <xf numFmtId="0" fontId="31" fillId="0" borderId="0"/>
    <xf numFmtId="0" fontId="31" fillId="0" borderId="0"/>
    <xf numFmtId="0" fontId="23" fillId="0" borderId="0"/>
    <xf numFmtId="0" fontId="23" fillId="0" borderId="0"/>
    <xf numFmtId="44" fontId="23" fillId="0" borderId="0" applyFont="0" applyFill="0" applyBorder="0" applyAlignment="0" applyProtection="0"/>
    <xf numFmtId="0" fontId="23" fillId="0" borderId="0"/>
    <xf numFmtId="43" fontId="31" fillId="0" borderId="0" applyFont="0" applyFill="0" applyBorder="0" applyAlignment="0" applyProtection="0"/>
    <xf numFmtId="0" fontId="23" fillId="0" borderId="0"/>
    <xf numFmtId="0" fontId="31" fillId="0" borderId="0"/>
    <xf numFmtId="43" fontId="23" fillId="0" borderId="0" applyFont="0" applyFill="0" applyBorder="0" applyAlignment="0" applyProtection="0"/>
    <xf numFmtId="0" fontId="23" fillId="0" borderId="0"/>
    <xf numFmtId="0" fontId="23" fillId="0" borderId="0"/>
    <xf numFmtId="0" fontId="23" fillId="0" borderId="0"/>
    <xf numFmtId="0" fontId="23" fillId="0" borderId="0"/>
    <xf numFmtId="0" fontId="58" fillId="0" borderId="0"/>
    <xf numFmtId="0" fontId="22" fillId="0" borderId="0"/>
    <xf numFmtId="9" fontId="22" fillId="0" borderId="0" applyFont="0" applyFill="0" applyBorder="0" applyAlignment="0" applyProtection="0"/>
    <xf numFmtId="0" fontId="31" fillId="0" borderId="0"/>
    <xf numFmtId="44" fontId="21" fillId="0" borderId="0" applyFont="0" applyFill="0" applyBorder="0" applyAlignment="0" applyProtection="0"/>
    <xf numFmtId="0" fontId="20" fillId="0" borderId="0"/>
    <xf numFmtId="43" fontId="20" fillId="0" borderId="0" applyFont="0" applyFill="0" applyBorder="0" applyAlignment="0" applyProtection="0"/>
    <xf numFmtId="9" fontId="20" fillId="0" borderId="0" applyFont="0" applyFill="0" applyBorder="0" applyAlignment="0" applyProtection="0"/>
    <xf numFmtId="0" fontId="19" fillId="0" borderId="0"/>
    <xf numFmtId="44"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9" fontId="31" fillId="0" borderId="0" applyFont="0" applyFill="0" applyBorder="0" applyAlignment="0" applyProtection="0"/>
    <xf numFmtId="0" fontId="18" fillId="0" borderId="0"/>
    <xf numFmtId="43" fontId="18" fillId="0" borderId="0" applyFont="0" applyFill="0" applyBorder="0" applyAlignment="0" applyProtection="0"/>
    <xf numFmtId="0" fontId="17" fillId="0" borderId="0"/>
    <xf numFmtId="9" fontId="17" fillId="0" borderId="0" applyFont="0" applyFill="0" applyBorder="0" applyAlignment="0" applyProtection="0"/>
    <xf numFmtId="0" fontId="64" fillId="0" borderId="0" applyNumberFormat="0" applyFont="0" applyFill="0" applyBorder="0" applyAlignment="0" applyProtection="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0" fontId="31" fillId="0" borderId="0" applyNumberFormat="0" applyFont="0" applyFill="0" applyBorder="0" applyAlignment="0" applyProtection="0"/>
    <xf numFmtId="0" fontId="15" fillId="0" borderId="0"/>
    <xf numFmtId="43" fontId="15" fillId="0" borderId="0" applyFont="0" applyFill="0" applyBorder="0" applyAlignment="0" applyProtection="0"/>
    <xf numFmtId="0" fontId="14" fillId="0" borderId="0"/>
    <xf numFmtId="43" fontId="14" fillId="0" borderId="0" applyFont="0" applyFill="0" applyBorder="0" applyAlignment="0" applyProtection="0"/>
    <xf numFmtId="0" fontId="13" fillId="0" borderId="0"/>
    <xf numFmtId="43" fontId="13" fillId="0" borderId="0" applyFont="0" applyFill="0" applyBorder="0" applyAlignment="0" applyProtection="0"/>
    <xf numFmtId="9" fontId="13" fillId="0" borderId="0" applyFont="0" applyFill="0" applyBorder="0" applyAlignment="0" applyProtection="0"/>
    <xf numFmtId="44" fontId="13" fillId="0" borderId="0" applyFont="0" applyFill="0" applyBorder="0" applyAlignment="0" applyProtection="0"/>
    <xf numFmtId="0" fontId="12" fillId="0" borderId="0"/>
    <xf numFmtId="9" fontId="12" fillId="0" borderId="0" applyFont="0" applyFill="0" applyBorder="0" applyAlignment="0" applyProtection="0"/>
    <xf numFmtId="44" fontId="12" fillId="0" borderId="0" applyFont="0" applyFill="0" applyBorder="0" applyAlignment="0" applyProtection="0"/>
    <xf numFmtId="43" fontId="12" fillId="0" borderId="0" applyFont="0" applyFill="0" applyBorder="0" applyAlignment="0" applyProtection="0"/>
    <xf numFmtId="0" fontId="11" fillId="0" borderId="0"/>
    <xf numFmtId="43" fontId="11" fillId="0" borderId="0" applyFont="0" applyFill="0" applyBorder="0" applyAlignment="0" applyProtection="0"/>
    <xf numFmtId="44" fontId="11" fillId="0" borderId="0" applyFont="0" applyFill="0" applyBorder="0" applyAlignment="0" applyProtection="0"/>
    <xf numFmtId="9" fontId="11" fillId="0" borderId="0" applyFont="0" applyFill="0" applyBorder="0" applyAlignment="0" applyProtection="0"/>
    <xf numFmtId="0" fontId="10" fillId="0" borderId="0"/>
    <xf numFmtId="43" fontId="10" fillId="0" borderId="0" applyFont="0" applyFill="0" applyBorder="0" applyAlignment="0" applyProtection="0"/>
    <xf numFmtId="44" fontId="10" fillId="0" borderId="0" applyFont="0" applyFill="0" applyBorder="0" applyAlignment="0" applyProtection="0"/>
    <xf numFmtId="9" fontId="10" fillId="0" borderId="0" applyFont="0" applyFill="0" applyBorder="0" applyAlignment="0" applyProtection="0"/>
    <xf numFmtId="0" fontId="9" fillId="0" borderId="0"/>
    <xf numFmtId="0" fontId="9" fillId="0" borderId="0"/>
    <xf numFmtId="0" fontId="8" fillId="0" borderId="0"/>
    <xf numFmtId="43"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4" fontId="31" fillId="0" borderId="0" applyFont="0" applyFill="0" applyBorder="0" applyAlignment="0" applyProtection="0"/>
    <xf numFmtId="43" fontId="7" fillId="0" borderId="0" applyFont="0" applyFill="0" applyBorder="0" applyAlignment="0" applyProtection="0"/>
    <xf numFmtId="44" fontId="31" fillId="0" borderId="0" applyFon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44" fontId="31" fillId="0" borderId="0" applyFont="0" applyFill="0" applyBorder="0" applyAlignment="0" applyProtection="0"/>
    <xf numFmtId="43" fontId="7" fillId="0" borderId="0" applyFont="0" applyFill="0" applyBorder="0" applyAlignment="0" applyProtection="0"/>
    <xf numFmtId="44" fontId="31" fillId="0" borderId="0" applyFont="0" applyFill="0" applyBorder="0" applyAlignment="0" applyProtection="0"/>
    <xf numFmtId="44" fontId="7"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4" fontId="6" fillId="0" borderId="0" applyFont="0" applyFill="0" applyBorder="0" applyAlignment="0" applyProtection="0"/>
    <xf numFmtId="0" fontId="5" fillId="0" borderId="0"/>
    <xf numFmtId="44" fontId="5" fillId="0" borderId="0"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44" fontId="31" fillId="0" borderId="0" applyFont="0" applyFill="0" applyBorder="0" applyAlignment="0" applyProtection="0"/>
    <xf numFmtId="0" fontId="1" fillId="0" borderId="0"/>
  </cellStyleXfs>
  <cellXfs count="364">
    <xf numFmtId="0" fontId="0" fillId="0" borderId="0" xfId="0"/>
    <xf numFmtId="0" fontId="32" fillId="0" borderId="0" xfId="0" applyFont="1" applyAlignment="1">
      <alignment vertical="center"/>
    </xf>
    <xf numFmtId="165" fontId="32" fillId="0" borderId="0" xfId="0" applyNumberFormat="1" applyFont="1" applyAlignment="1">
      <alignment vertical="center"/>
    </xf>
    <xf numFmtId="0" fontId="32" fillId="0" borderId="0" xfId="0" applyFont="1" applyAlignment="1">
      <alignment horizontal="left" vertical="center"/>
    </xf>
    <xf numFmtId="10" fontId="59" fillId="0" borderId="0" xfId="0" applyNumberFormat="1" applyFont="1" applyAlignment="1">
      <alignment vertical="center"/>
    </xf>
    <xf numFmtId="0" fontId="33" fillId="0" borderId="0" xfId="0" applyFont="1" applyAlignment="1">
      <alignment horizontal="left" vertical="center" wrapText="1"/>
    </xf>
    <xf numFmtId="0" fontId="33" fillId="0" borderId="0" xfId="0" applyFont="1" applyAlignment="1">
      <alignment horizontal="center" vertical="center" wrapText="1"/>
    </xf>
    <xf numFmtId="0" fontId="32" fillId="0" borderId="0" xfId="0" applyFont="1" applyAlignment="1">
      <alignment horizontal="left" vertical="center" wrapText="1"/>
    </xf>
    <xf numFmtId="0" fontId="32" fillId="0" borderId="0" xfId="0" applyFont="1" applyAlignment="1">
      <alignment horizontal="center" vertical="center" wrapText="1"/>
    </xf>
    <xf numFmtId="0" fontId="32" fillId="20" borderId="0" xfId="0" applyFont="1" applyFill="1" applyAlignment="1">
      <alignment vertical="center"/>
    </xf>
    <xf numFmtId="165" fontId="32" fillId="20" borderId="0" xfId="0" applyNumberFormat="1" applyFont="1" applyFill="1" applyAlignment="1">
      <alignment vertical="center"/>
    </xf>
    <xf numFmtId="0" fontId="5" fillId="0" borderId="0" xfId="290"/>
    <xf numFmtId="0" fontId="5" fillId="0" borderId="0" xfId="290" applyAlignment="1">
      <alignment horizontal="center"/>
    </xf>
    <xf numFmtId="0" fontId="5" fillId="28" borderId="0" xfId="290" applyFill="1"/>
    <xf numFmtId="0" fontId="65" fillId="28" borderId="0" xfId="290" applyFont="1" applyFill="1"/>
    <xf numFmtId="0" fontId="66" fillId="0" borderId="0" xfId="290" applyFont="1"/>
    <xf numFmtId="0" fontId="69" fillId="27" borderId="5" xfId="290" applyFont="1" applyFill="1" applyBorder="1"/>
    <xf numFmtId="170" fontId="5" fillId="0" borderId="0" xfId="290" applyNumberFormat="1" applyAlignment="1">
      <alignment horizontal="center"/>
    </xf>
    <xf numFmtId="0" fontId="4" fillId="18" borderId="0" xfId="270" applyFont="1" applyFill="1" applyAlignment="1">
      <alignment horizontal="center" vertical="center" wrapText="1"/>
    </xf>
    <xf numFmtId="0" fontId="4" fillId="20" borderId="0" xfId="270" applyFont="1" applyFill="1" applyAlignment="1">
      <alignment horizontal="center" vertical="center" wrapText="1"/>
    </xf>
    <xf numFmtId="0" fontId="4" fillId="0" borderId="0" xfId="270" applyFont="1" applyAlignment="1">
      <alignment horizontal="center" vertical="center" wrapText="1"/>
    </xf>
    <xf numFmtId="9" fontId="67" fillId="25" borderId="23" xfId="237" applyFont="1" applyFill="1" applyBorder="1" applyAlignment="1">
      <alignment horizontal="center" vertical="center" wrapText="1"/>
    </xf>
    <xf numFmtId="43" fontId="70" fillId="25" borderId="44" xfId="59" applyFont="1" applyFill="1" applyBorder="1" applyAlignment="1">
      <alignment horizontal="center" vertical="center" wrapText="1"/>
    </xf>
    <xf numFmtId="9" fontId="67" fillId="46" borderId="45" xfId="237" applyFont="1" applyFill="1" applyBorder="1" applyAlignment="1">
      <alignment horizontal="center" vertical="center" wrapText="1"/>
    </xf>
    <xf numFmtId="43" fontId="70" fillId="46" borderId="44" xfId="59" applyFont="1" applyFill="1" applyBorder="1" applyAlignment="1">
      <alignment horizontal="center" vertical="center" wrapText="1"/>
    </xf>
    <xf numFmtId="9" fontId="67" fillId="26" borderId="45" xfId="237" applyFont="1" applyFill="1" applyBorder="1" applyAlignment="1">
      <alignment horizontal="center" vertical="center" wrapText="1"/>
    </xf>
    <xf numFmtId="43" fontId="71" fillId="26" borderId="22" xfId="59" applyFont="1" applyFill="1" applyBorder="1" applyAlignment="1">
      <alignment horizontal="center" vertical="center" wrapText="1"/>
    </xf>
    <xf numFmtId="0" fontId="67" fillId="20" borderId="0" xfId="270" applyFont="1" applyFill="1" applyAlignment="1">
      <alignment horizontal="center" vertical="center" wrapText="1"/>
    </xf>
    <xf numFmtId="0" fontId="67" fillId="0" borderId="0" xfId="270" applyFont="1" applyAlignment="1">
      <alignment horizontal="center" vertical="center" wrapText="1"/>
    </xf>
    <xf numFmtId="0" fontId="69" fillId="20" borderId="30" xfId="270" applyFont="1" applyFill="1" applyBorder="1" applyAlignment="1">
      <alignment horizontal="center" vertical="center" wrapText="1"/>
    </xf>
    <xf numFmtId="0" fontId="69" fillId="20" borderId="31" xfId="270" applyFont="1" applyFill="1" applyBorder="1" applyAlignment="1">
      <alignment horizontal="center" vertical="center" wrapText="1"/>
    </xf>
    <xf numFmtId="49" fontId="69" fillId="20" borderId="31" xfId="270" applyNumberFormat="1" applyFont="1" applyFill="1" applyBorder="1" applyAlignment="1">
      <alignment horizontal="center" vertical="center" wrapText="1"/>
    </xf>
    <xf numFmtId="0" fontId="69" fillId="20" borderId="31" xfId="228" applyFont="1" applyFill="1" applyBorder="1" applyAlignment="1">
      <alignment horizontal="left" vertical="center"/>
    </xf>
    <xf numFmtId="43" fontId="69" fillId="20" borderId="31" xfId="271" applyFont="1" applyFill="1" applyBorder="1" applyAlignment="1">
      <alignment horizontal="center" vertical="center" wrapText="1"/>
    </xf>
    <xf numFmtId="9" fontId="69" fillId="20" borderId="31" xfId="237" applyFont="1" applyFill="1" applyBorder="1" applyAlignment="1">
      <alignment horizontal="center" vertical="center" wrapText="1"/>
    </xf>
    <xf numFmtId="9" fontId="69" fillId="20" borderId="32" xfId="237" applyFont="1" applyFill="1" applyBorder="1" applyAlignment="1">
      <alignment horizontal="center" vertical="center" wrapText="1"/>
    </xf>
    <xf numFmtId="9" fontId="69" fillId="24" borderId="58" xfId="237" applyFont="1" applyFill="1" applyBorder="1" applyAlignment="1">
      <alignment horizontal="center" vertical="center" wrapText="1"/>
    </xf>
    <xf numFmtId="43" fontId="69" fillId="24" borderId="59" xfId="59" applyFont="1" applyFill="1" applyBorder="1" applyAlignment="1">
      <alignment horizontal="center" vertical="center" wrapText="1"/>
    </xf>
    <xf numFmtId="9" fontId="69" fillId="47" borderId="60" xfId="237" applyFont="1" applyFill="1" applyBorder="1" applyAlignment="1">
      <alignment horizontal="center" vertical="center" wrapText="1"/>
    </xf>
    <xf numFmtId="43" fontId="69" fillId="47" borderId="59" xfId="59" applyFont="1" applyFill="1" applyBorder="1" applyAlignment="1">
      <alignment horizontal="center" vertical="center" wrapText="1"/>
    </xf>
    <xf numFmtId="9" fontId="69" fillId="23" borderId="60" xfId="237" applyFont="1" applyFill="1" applyBorder="1" applyAlignment="1">
      <alignment horizontal="center" vertical="center" wrapText="1"/>
    </xf>
    <xf numFmtId="43" fontId="72" fillId="23" borderId="61" xfId="59" applyFont="1" applyFill="1" applyBorder="1" applyAlignment="1">
      <alignment horizontal="center" vertical="center" wrapText="1"/>
    </xf>
    <xf numFmtId="0" fontId="69" fillId="20" borderId="0" xfId="270" applyFont="1" applyFill="1" applyAlignment="1">
      <alignment horizontal="center" vertical="center" wrapText="1"/>
    </xf>
    <xf numFmtId="0" fontId="66" fillId="0" borderId="33" xfId="270" applyFont="1" applyBorder="1" applyAlignment="1">
      <alignment horizontal="center" vertical="center" wrapText="1"/>
    </xf>
    <xf numFmtId="0" fontId="66" fillId="0" borderId="34" xfId="270" applyFont="1" applyBorder="1" applyAlignment="1">
      <alignment horizontal="center" vertical="center" wrapText="1"/>
    </xf>
    <xf numFmtId="49" fontId="66" fillId="0" borderId="34" xfId="270" applyNumberFormat="1" applyFont="1" applyBorder="1" applyAlignment="1">
      <alignment horizontal="center" vertical="center" wrapText="1"/>
    </xf>
    <xf numFmtId="0" fontId="66" fillId="0" borderId="34" xfId="228" applyFont="1" applyBorder="1" applyAlignment="1">
      <alignment horizontal="left" vertical="center"/>
    </xf>
    <xf numFmtId="43" fontId="66" fillId="20" borderId="34" xfId="271" applyFont="1" applyFill="1" applyBorder="1" applyAlignment="1">
      <alignment horizontal="center" vertical="center" wrapText="1"/>
    </xf>
    <xf numFmtId="9" fontId="66" fillId="20" borderId="34" xfId="237" applyFont="1" applyFill="1" applyBorder="1" applyAlignment="1">
      <alignment horizontal="center" vertical="center" wrapText="1"/>
    </xf>
    <xf numFmtId="9" fontId="66" fillId="0" borderId="35" xfId="237" applyFont="1" applyFill="1" applyBorder="1" applyAlignment="1">
      <alignment horizontal="center" vertical="center" wrapText="1"/>
    </xf>
    <xf numFmtId="9" fontId="66" fillId="24" borderId="50" xfId="237" applyFont="1" applyFill="1" applyBorder="1" applyAlignment="1">
      <alignment horizontal="center" vertical="center" wrapText="1"/>
    </xf>
    <xf numFmtId="43" fontId="69" fillId="24" borderId="51" xfId="59" applyFont="1" applyFill="1" applyBorder="1" applyAlignment="1">
      <alignment horizontal="center" vertical="center" wrapText="1"/>
    </xf>
    <xf numFmtId="9" fontId="66" fillId="47" borderId="52" xfId="237" applyFont="1" applyFill="1" applyBorder="1" applyAlignment="1">
      <alignment horizontal="center" vertical="center" wrapText="1"/>
    </xf>
    <xf numFmtId="43" fontId="66" fillId="47" borderId="51" xfId="59" applyFont="1" applyFill="1" applyBorder="1" applyAlignment="1">
      <alignment horizontal="center" vertical="center" wrapText="1"/>
    </xf>
    <xf numFmtId="9" fontId="66" fillId="23" borderId="52" xfId="237" applyFont="1" applyFill="1" applyBorder="1" applyAlignment="1">
      <alignment horizontal="center" vertical="center" wrapText="1"/>
    </xf>
    <xf numFmtId="43" fontId="66" fillId="23" borderId="53" xfId="59" applyFont="1" applyFill="1" applyBorder="1" applyAlignment="1">
      <alignment horizontal="center" vertical="center" wrapText="1"/>
    </xf>
    <xf numFmtId="0" fontId="66" fillId="20" borderId="0" xfId="270" applyFont="1" applyFill="1" applyAlignment="1">
      <alignment horizontal="center" vertical="center" wrapText="1"/>
    </xf>
    <xf numFmtId="0" fontId="69" fillId="0" borderId="33" xfId="270" applyFont="1" applyBorder="1" applyAlignment="1">
      <alignment horizontal="center" vertical="center" wrapText="1"/>
    </xf>
    <xf numFmtId="0" fontId="69" fillId="0" borderId="34" xfId="270" applyFont="1" applyBorder="1" applyAlignment="1">
      <alignment horizontal="center" vertical="center" wrapText="1"/>
    </xf>
    <xf numFmtId="49" fontId="69" fillId="0" borderId="34" xfId="270" applyNumberFormat="1" applyFont="1" applyBorder="1" applyAlignment="1">
      <alignment horizontal="center" vertical="center" wrapText="1"/>
    </xf>
    <xf numFmtId="0" fontId="69" fillId="0" borderId="34" xfId="228" applyFont="1" applyBorder="1" applyAlignment="1">
      <alignment horizontal="left" vertical="center"/>
    </xf>
    <xf numFmtId="43" fontId="69" fillId="0" borderId="34" xfId="271" applyFont="1" applyFill="1" applyBorder="1" applyAlignment="1">
      <alignment horizontal="center" vertical="center" wrapText="1"/>
    </xf>
    <xf numFmtId="9" fontId="69" fillId="0" borderId="34" xfId="237" applyFont="1" applyFill="1" applyBorder="1" applyAlignment="1">
      <alignment horizontal="center" vertical="center" wrapText="1"/>
    </xf>
    <xf numFmtId="9" fontId="69" fillId="0" borderId="35" xfId="237" applyFont="1" applyFill="1" applyBorder="1" applyAlignment="1">
      <alignment horizontal="center" vertical="center" wrapText="1"/>
    </xf>
    <xf numFmtId="9" fontId="69" fillId="24" borderId="50" xfId="237" applyFont="1" applyFill="1" applyBorder="1" applyAlignment="1">
      <alignment horizontal="center" vertical="center" wrapText="1"/>
    </xf>
    <xf numFmtId="9" fontId="69" fillId="47" borderId="52" xfId="237" applyFont="1" applyFill="1" applyBorder="1" applyAlignment="1">
      <alignment horizontal="center" vertical="center" wrapText="1"/>
    </xf>
    <xf numFmtId="43" fontId="69" fillId="47" borderId="51" xfId="59" applyFont="1" applyFill="1" applyBorder="1" applyAlignment="1">
      <alignment horizontal="center" vertical="center" wrapText="1"/>
    </xf>
    <xf numFmtId="9" fontId="69" fillId="23" borderId="52" xfId="237" applyFont="1" applyFill="1" applyBorder="1" applyAlignment="1">
      <alignment horizontal="center" vertical="center" wrapText="1"/>
    </xf>
    <xf numFmtId="43" fontId="72" fillId="23" borderId="53" xfId="59" applyFont="1" applyFill="1" applyBorder="1" applyAlignment="1">
      <alignment horizontal="center" vertical="center" wrapText="1"/>
    </xf>
    <xf numFmtId="43" fontId="66" fillId="24" borderId="51" xfId="59" applyFont="1" applyFill="1" applyBorder="1" applyAlignment="1">
      <alignment horizontal="center" vertical="center" wrapText="1"/>
    </xf>
    <xf numFmtId="0" fontId="69" fillId="27" borderId="37" xfId="270" applyFont="1" applyFill="1" applyBorder="1" applyAlignment="1">
      <alignment horizontal="center" vertical="center" wrapText="1"/>
    </xf>
    <xf numFmtId="0" fontId="69" fillId="27" borderId="0" xfId="270" applyFont="1" applyFill="1" applyAlignment="1">
      <alignment horizontal="center" vertical="center" wrapText="1"/>
    </xf>
    <xf numFmtId="49" fontId="69" fillId="27" borderId="0" xfId="270" applyNumberFormat="1" applyFont="1" applyFill="1" applyAlignment="1">
      <alignment horizontal="center" vertical="center" wrapText="1"/>
    </xf>
    <xf numFmtId="0" fontId="69" fillId="27" borderId="0" xfId="228" applyFont="1" applyFill="1" applyAlignment="1">
      <alignment horizontal="left" vertical="center"/>
    </xf>
    <xf numFmtId="43" fontId="69" fillId="27" borderId="0" xfId="271" applyFont="1" applyFill="1" applyBorder="1" applyAlignment="1">
      <alignment horizontal="center" vertical="center" wrapText="1"/>
    </xf>
    <xf numFmtId="9" fontId="69" fillId="27" borderId="0" xfId="237" applyFont="1" applyFill="1" applyBorder="1" applyAlignment="1">
      <alignment horizontal="center" vertical="center" wrapText="1"/>
    </xf>
    <xf numFmtId="9" fontId="69" fillId="27" borderId="29" xfId="237" applyFont="1" applyFill="1" applyBorder="1" applyAlignment="1">
      <alignment horizontal="center" vertical="center" wrapText="1"/>
    </xf>
    <xf numFmtId="43" fontId="69" fillId="27" borderId="29" xfId="59" applyFont="1" applyFill="1" applyBorder="1" applyAlignment="1">
      <alignment horizontal="center" vertical="center" wrapText="1"/>
    </xf>
    <xf numFmtId="43" fontId="72" fillId="27" borderId="29" xfId="59" applyFont="1" applyFill="1" applyBorder="1" applyAlignment="1">
      <alignment horizontal="center" vertical="center" wrapText="1"/>
    </xf>
    <xf numFmtId="0" fontId="69" fillId="20" borderId="38" xfId="270" applyFont="1" applyFill="1" applyBorder="1" applyAlignment="1">
      <alignment horizontal="center" vertical="center" wrapText="1"/>
    </xf>
    <xf numFmtId="49" fontId="69" fillId="20" borderId="38" xfId="270" applyNumberFormat="1" applyFont="1" applyFill="1" applyBorder="1" applyAlignment="1">
      <alignment horizontal="center" vertical="center" wrapText="1"/>
    </xf>
    <xf numFmtId="0" fontId="69" fillId="20" borderId="38" xfId="228" applyFont="1" applyFill="1" applyBorder="1" applyAlignment="1">
      <alignment horizontal="left" vertical="center"/>
    </xf>
    <xf numFmtId="43" fontId="69" fillId="20" borderId="38" xfId="271" applyFont="1" applyFill="1" applyBorder="1" applyAlignment="1">
      <alignment horizontal="center" vertical="center" wrapText="1"/>
    </xf>
    <xf numFmtId="9" fontId="69" fillId="0" borderId="38" xfId="237" applyFont="1" applyFill="1" applyBorder="1" applyAlignment="1">
      <alignment horizontal="center" vertical="center" wrapText="1"/>
    </xf>
    <xf numFmtId="9" fontId="69" fillId="0" borderId="39" xfId="237" applyFont="1" applyFill="1" applyBorder="1" applyAlignment="1">
      <alignment horizontal="center" vertical="center" wrapText="1"/>
    </xf>
    <xf numFmtId="43" fontId="66" fillId="0" borderId="34" xfId="271" applyFont="1" applyFill="1" applyBorder="1" applyAlignment="1">
      <alignment horizontal="center" vertical="center" wrapText="1"/>
    </xf>
    <xf numFmtId="9" fontId="66" fillId="0" borderId="34" xfId="237" applyFont="1" applyFill="1" applyBorder="1" applyAlignment="1">
      <alignment horizontal="center" vertical="center" wrapText="1"/>
    </xf>
    <xf numFmtId="0" fontId="66" fillId="20" borderId="38" xfId="270" applyFont="1" applyFill="1" applyBorder="1" applyAlignment="1">
      <alignment horizontal="center" vertical="center" wrapText="1"/>
    </xf>
    <xf numFmtId="49" fontId="66" fillId="20" borderId="38" xfId="270" applyNumberFormat="1" applyFont="1" applyFill="1" applyBorder="1" applyAlignment="1">
      <alignment horizontal="center" vertical="center" wrapText="1"/>
    </xf>
    <xf numFmtId="0" fontId="66" fillId="20" borderId="38" xfId="228" applyFont="1" applyFill="1" applyBorder="1" applyAlignment="1">
      <alignment horizontal="left" vertical="center"/>
    </xf>
    <xf numFmtId="43" fontId="66" fillId="20" borderId="38" xfId="271" applyFont="1" applyFill="1" applyBorder="1" applyAlignment="1">
      <alignment horizontal="center" vertical="center" wrapText="1"/>
    </xf>
    <xf numFmtId="9" fontId="66" fillId="0" borderId="38" xfId="237" applyFont="1" applyFill="1" applyBorder="1" applyAlignment="1">
      <alignment horizontal="center" vertical="center" wrapText="1"/>
    </xf>
    <xf numFmtId="9" fontId="66" fillId="0" borderId="39" xfId="237" applyFont="1" applyFill="1" applyBorder="1" applyAlignment="1">
      <alignment horizontal="center" vertical="center" wrapText="1"/>
    </xf>
    <xf numFmtId="0" fontId="73" fillId="23" borderId="31" xfId="270" applyFont="1" applyFill="1" applyBorder="1" applyAlignment="1">
      <alignment horizontal="center" vertical="center" wrapText="1"/>
    </xf>
    <xf numFmtId="9" fontId="73" fillId="23" borderId="31" xfId="237" applyFont="1" applyFill="1" applyBorder="1" applyAlignment="1">
      <alignment horizontal="center" vertical="center" wrapText="1"/>
    </xf>
    <xf numFmtId="9" fontId="73" fillId="23" borderId="32" xfId="237" applyFont="1" applyFill="1" applyBorder="1" applyAlignment="1">
      <alignment horizontal="center" vertical="center" wrapText="1"/>
    </xf>
    <xf numFmtId="9" fontId="69" fillId="25" borderId="46" xfId="237" applyFont="1" applyFill="1" applyBorder="1" applyAlignment="1">
      <alignment horizontal="center" vertical="center" wrapText="1"/>
    </xf>
    <xf numFmtId="43" fontId="69" fillId="25" borderId="47" xfId="59" applyFont="1" applyFill="1" applyBorder="1" applyAlignment="1">
      <alignment horizontal="center" vertical="center" wrapText="1"/>
    </xf>
    <xf numFmtId="9" fontId="69" fillId="46" borderId="48" xfId="237" applyFont="1" applyFill="1" applyBorder="1" applyAlignment="1">
      <alignment horizontal="center" vertical="center" wrapText="1"/>
    </xf>
    <xf numFmtId="43" fontId="69" fillId="46" borderId="47" xfId="59" applyFont="1" applyFill="1" applyBorder="1" applyAlignment="1">
      <alignment horizontal="center" vertical="center" wrapText="1"/>
    </xf>
    <xf numFmtId="9" fontId="69" fillId="26" borderId="48" xfId="237" applyFont="1" applyFill="1" applyBorder="1" applyAlignment="1">
      <alignment horizontal="center" vertical="center" wrapText="1"/>
    </xf>
    <xf numFmtId="43" fontId="72" fillId="26" borderId="49" xfId="59" applyFont="1" applyFill="1" applyBorder="1" applyAlignment="1">
      <alignment horizontal="center" vertical="center" wrapText="1"/>
    </xf>
    <xf numFmtId="0" fontId="73" fillId="20" borderId="0" xfId="270" applyFont="1" applyFill="1" applyAlignment="1">
      <alignment horizontal="center" vertical="center" wrapText="1"/>
    </xf>
    <xf numFmtId="0" fontId="73" fillId="20" borderId="17" xfId="270" applyFont="1" applyFill="1" applyBorder="1" applyAlignment="1">
      <alignment horizontal="center" vertical="center" wrapText="1"/>
    </xf>
    <xf numFmtId="0" fontId="73" fillId="20" borderId="16" xfId="270" applyFont="1" applyFill="1" applyBorder="1" applyAlignment="1">
      <alignment horizontal="center" vertical="center" wrapText="1"/>
    </xf>
    <xf numFmtId="0" fontId="73" fillId="23" borderId="34" xfId="270" applyFont="1" applyFill="1" applyBorder="1" applyAlignment="1">
      <alignment horizontal="center" vertical="center" wrapText="1"/>
    </xf>
    <xf numFmtId="9" fontId="73" fillId="23" borderId="34" xfId="237" applyFont="1" applyFill="1" applyBorder="1" applyAlignment="1">
      <alignment horizontal="center" vertical="center" wrapText="1"/>
    </xf>
    <xf numFmtId="9" fontId="73" fillId="23" borderId="35" xfId="237" applyFont="1" applyFill="1" applyBorder="1" applyAlignment="1">
      <alignment horizontal="center" vertical="center" wrapText="1"/>
    </xf>
    <xf numFmtId="9" fontId="69" fillId="25" borderId="50" xfId="237" applyFont="1" applyFill="1" applyBorder="1" applyAlignment="1">
      <alignment horizontal="center" vertical="center" wrapText="1"/>
    </xf>
    <xf numFmtId="43" fontId="69" fillId="25" borderId="51" xfId="59" applyFont="1" applyFill="1" applyBorder="1" applyAlignment="1">
      <alignment horizontal="center" vertical="center" wrapText="1"/>
    </xf>
    <xf numFmtId="9" fontId="69" fillId="46" borderId="52" xfId="237" applyFont="1" applyFill="1" applyBorder="1" applyAlignment="1">
      <alignment horizontal="center" vertical="center" wrapText="1"/>
    </xf>
    <xf numFmtId="43" fontId="69" fillId="46" borderId="51" xfId="59" applyFont="1" applyFill="1" applyBorder="1" applyAlignment="1">
      <alignment horizontal="center" vertical="center" wrapText="1"/>
    </xf>
    <xf numFmtId="9" fontId="69" fillId="26" borderId="52" xfId="237" applyFont="1" applyFill="1" applyBorder="1" applyAlignment="1">
      <alignment horizontal="center" vertical="center" wrapText="1"/>
    </xf>
    <xf numFmtId="43" fontId="72" fillId="26" borderId="53" xfId="59" applyFont="1" applyFill="1" applyBorder="1" applyAlignment="1">
      <alignment horizontal="center" vertical="center" wrapText="1"/>
    </xf>
    <xf numFmtId="0" fontId="73" fillId="23" borderId="40" xfId="270" applyFont="1" applyFill="1" applyBorder="1" applyAlignment="1">
      <alignment horizontal="center" vertical="center" wrapText="1"/>
    </xf>
    <xf numFmtId="9" fontId="73" fillId="23" borderId="40" xfId="237" applyFont="1" applyFill="1" applyBorder="1" applyAlignment="1">
      <alignment horizontal="center" vertical="center" wrapText="1"/>
    </xf>
    <xf numFmtId="9" fontId="73" fillId="23" borderId="41" xfId="237" applyFont="1" applyFill="1" applyBorder="1" applyAlignment="1">
      <alignment horizontal="center" vertical="center" wrapText="1"/>
    </xf>
    <xf numFmtId="9" fontId="69" fillId="25" borderId="62" xfId="237" applyFont="1" applyFill="1" applyBorder="1" applyAlignment="1">
      <alignment horizontal="center" vertical="center" wrapText="1"/>
    </xf>
    <xf numFmtId="43" fontId="69" fillId="25" borderId="63" xfId="59" applyFont="1" applyFill="1" applyBorder="1" applyAlignment="1">
      <alignment horizontal="center" vertical="center" wrapText="1"/>
    </xf>
    <xf numFmtId="9" fontId="69" fillId="46" borderId="64" xfId="237" applyFont="1" applyFill="1" applyBorder="1" applyAlignment="1">
      <alignment horizontal="center" vertical="center" wrapText="1"/>
    </xf>
    <xf numFmtId="43" fontId="69" fillId="46" borderId="63" xfId="59" applyFont="1" applyFill="1" applyBorder="1" applyAlignment="1">
      <alignment horizontal="center" vertical="center" wrapText="1"/>
    </xf>
    <xf numFmtId="9" fontId="69" fillId="26" borderId="64" xfId="237" applyFont="1" applyFill="1" applyBorder="1" applyAlignment="1">
      <alignment horizontal="center" vertical="center" wrapText="1"/>
    </xf>
    <xf numFmtId="43" fontId="72" fillId="26" borderId="65" xfId="59" applyFont="1" applyFill="1" applyBorder="1" applyAlignment="1">
      <alignment horizontal="center" vertical="center" wrapText="1"/>
    </xf>
    <xf numFmtId="0" fontId="73" fillId="23" borderId="43" xfId="270" applyFont="1" applyFill="1" applyBorder="1" applyAlignment="1">
      <alignment horizontal="center" vertical="center" wrapText="1"/>
    </xf>
    <xf numFmtId="9" fontId="73" fillId="23" borderId="43" xfId="237" applyFont="1" applyFill="1" applyBorder="1" applyAlignment="1">
      <alignment horizontal="center" vertical="center" wrapText="1"/>
    </xf>
    <xf numFmtId="9" fontId="73" fillId="23" borderId="42" xfId="237" applyFont="1" applyFill="1" applyBorder="1" applyAlignment="1">
      <alignment horizontal="center" vertical="center" wrapText="1"/>
    </xf>
    <xf numFmtId="9" fontId="69" fillId="25" borderId="23" xfId="237" applyFont="1" applyFill="1" applyBorder="1" applyAlignment="1">
      <alignment horizontal="center" vertical="center" wrapText="1"/>
    </xf>
    <xf numFmtId="43" fontId="69" fillId="25" borderId="44" xfId="59" applyFont="1" applyFill="1" applyBorder="1" applyAlignment="1">
      <alignment horizontal="center" vertical="center" wrapText="1"/>
    </xf>
    <xf numFmtId="9" fontId="69" fillId="46" borderId="45" xfId="237" applyFont="1" applyFill="1" applyBorder="1" applyAlignment="1">
      <alignment horizontal="center" vertical="center" wrapText="1"/>
    </xf>
    <xf numFmtId="43" fontId="69" fillId="46" borderId="44" xfId="59" applyFont="1" applyFill="1" applyBorder="1" applyAlignment="1">
      <alignment horizontal="center" vertical="center" wrapText="1"/>
    </xf>
    <xf numFmtId="9" fontId="69" fillId="26" borderId="45" xfId="237" applyFont="1" applyFill="1" applyBorder="1" applyAlignment="1">
      <alignment horizontal="center" vertical="center" wrapText="1"/>
    </xf>
    <xf numFmtId="43" fontId="72" fillId="26" borderId="22" xfId="59" applyFont="1" applyFill="1" applyBorder="1" applyAlignment="1">
      <alignment horizontal="center" vertical="center" wrapText="1"/>
    </xf>
    <xf numFmtId="0" fontId="68" fillId="18" borderId="23" xfId="270" applyFont="1" applyFill="1" applyBorder="1" applyAlignment="1">
      <alignment horizontal="center" vertical="center" wrapText="1"/>
    </xf>
    <xf numFmtId="0" fontId="68" fillId="18" borderId="21" xfId="270" applyFont="1" applyFill="1" applyBorder="1" applyAlignment="1">
      <alignment horizontal="center" vertical="center" wrapText="1"/>
    </xf>
    <xf numFmtId="44" fontId="68" fillId="18" borderId="21" xfId="272" applyFont="1" applyFill="1" applyBorder="1" applyAlignment="1">
      <alignment horizontal="center" vertical="center" wrapText="1"/>
    </xf>
    <xf numFmtId="14" fontId="68" fillId="18" borderId="21" xfId="270" applyNumberFormat="1" applyFont="1" applyFill="1" applyBorder="1" applyAlignment="1">
      <alignment horizontal="center" vertical="center" wrapText="1"/>
    </xf>
    <xf numFmtId="0" fontId="4" fillId="20" borderId="17" xfId="270" applyFont="1" applyFill="1" applyBorder="1" applyAlignment="1">
      <alignment horizontal="center" vertical="center" wrapText="1"/>
    </xf>
    <xf numFmtId="0" fontId="4" fillId="20" borderId="16" xfId="270" applyFont="1" applyFill="1" applyBorder="1" applyAlignment="1">
      <alignment horizontal="center" vertical="center" wrapText="1"/>
    </xf>
    <xf numFmtId="14" fontId="4" fillId="0" borderId="0" xfId="270" applyNumberFormat="1" applyFont="1" applyAlignment="1">
      <alignment horizontal="center" vertical="center" wrapText="1"/>
    </xf>
    <xf numFmtId="9" fontId="4" fillId="0" borderId="0" xfId="237" applyFont="1" applyAlignment="1">
      <alignment horizontal="center" vertical="center" wrapText="1"/>
    </xf>
    <xf numFmtId="43" fontId="4" fillId="0" borderId="0" xfId="59" applyFont="1" applyAlignment="1">
      <alignment horizontal="center" vertical="center" wrapText="1"/>
    </xf>
    <xf numFmtId="0" fontId="4" fillId="0" borderId="0" xfId="270" applyFont="1" applyAlignment="1">
      <alignment horizontal="center"/>
    </xf>
    <xf numFmtId="0" fontId="4" fillId="0" borderId="0" xfId="270" applyFont="1"/>
    <xf numFmtId="0" fontId="3" fillId="0" borderId="0" xfId="270" applyFont="1" applyAlignment="1">
      <alignment horizontal="center" vertical="center" wrapText="1"/>
    </xf>
    <xf numFmtId="0" fontId="67" fillId="19" borderId="66" xfId="270" applyFont="1" applyFill="1" applyBorder="1" applyAlignment="1">
      <alignment horizontal="center" vertical="center" wrapText="1"/>
    </xf>
    <xf numFmtId="0" fontId="67" fillId="19" borderId="43" xfId="270" applyFont="1" applyFill="1" applyBorder="1" applyAlignment="1">
      <alignment horizontal="center" vertical="center" wrapText="1"/>
    </xf>
    <xf numFmtId="14" fontId="67" fillId="19" borderId="43" xfId="270" applyNumberFormat="1" applyFont="1" applyFill="1" applyBorder="1" applyAlignment="1">
      <alignment horizontal="center" vertical="center" wrapText="1"/>
    </xf>
    <xf numFmtId="0" fontId="67" fillId="19" borderId="42" xfId="270" applyFont="1" applyFill="1" applyBorder="1" applyAlignment="1">
      <alignment horizontal="center" vertical="center" wrapText="1"/>
    </xf>
    <xf numFmtId="0" fontId="32" fillId="0" borderId="38" xfId="0" applyFont="1" applyBorder="1" applyAlignment="1">
      <alignment horizontal="center" vertical="center" wrapText="1"/>
    </xf>
    <xf numFmtId="0" fontId="32" fillId="0" borderId="38" xfId="0" applyFont="1" applyBorder="1" applyAlignment="1">
      <alignment horizontal="left" vertical="center" wrapText="1"/>
    </xf>
    <xf numFmtId="0" fontId="32" fillId="0" borderId="34" xfId="0" applyFont="1" applyBorder="1" applyAlignment="1">
      <alignment horizontal="center" vertical="center" wrapText="1"/>
    </xf>
    <xf numFmtId="0" fontId="32" fillId="0" borderId="34" xfId="0" applyFont="1" applyBorder="1" applyAlignment="1">
      <alignment horizontal="left" vertical="center" wrapText="1"/>
    </xf>
    <xf numFmtId="43" fontId="60" fillId="0" borderId="34" xfId="59" applyFont="1" applyFill="1" applyBorder="1" applyAlignment="1">
      <alignment horizontal="center" vertical="center" wrapText="1" readingOrder="1"/>
    </xf>
    <xf numFmtId="0" fontId="32" fillId="0" borderId="36" xfId="0" applyFont="1" applyBorder="1" applyAlignment="1">
      <alignment horizontal="center" vertical="center" wrapText="1"/>
    </xf>
    <xf numFmtId="169" fontId="53" fillId="20" borderId="38" xfId="59" applyNumberFormat="1" applyFont="1" applyFill="1" applyBorder="1" applyAlignment="1">
      <alignment vertical="center" wrapText="1" readingOrder="1"/>
    </xf>
    <xf numFmtId="169" fontId="53" fillId="0" borderId="38" xfId="59" applyNumberFormat="1" applyFont="1" applyFill="1" applyBorder="1" applyAlignment="1">
      <alignment vertical="center" wrapText="1" readingOrder="1"/>
    </xf>
    <xf numFmtId="169" fontId="53" fillId="20" borderId="34" xfId="59" applyNumberFormat="1" applyFont="1" applyFill="1" applyBorder="1" applyAlignment="1">
      <alignment vertical="center" wrapText="1" readingOrder="1"/>
    </xf>
    <xf numFmtId="9" fontId="60" fillId="0" borderId="34" xfId="59" applyNumberFormat="1" applyFont="1" applyFill="1" applyBorder="1" applyAlignment="1">
      <alignment horizontal="center" vertical="center" wrapText="1" readingOrder="1"/>
    </xf>
    <xf numFmtId="0" fontId="32" fillId="0" borderId="36" xfId="0" applyFont="1" applyBorder="1" applyAlignment="1">
      <alignment horizontal="left" vertical="center" wrapText="1"/>
    </xf>
    <xf numFmtId="169" fontId="53" fillId="20" borderId="36" xfId="59" applyNumberFormat="1" applyFont="1" applyFill="1" applyBorder="1" applyAlignment="1">
      <alignment vertical="center" wrapText="1" readingOrder="1"/>
    </xf>
    <xf numFmtId="43" fontId="60" fillId="0" borderId="36" xfId="59" applyFont="1" applyFill="1" applyBorder="1" applyAlignment="1">
      <alignment horizontal="center" vertical="center" wrapText="1" readingOrder="1"/>
    </xf>
    <xf numFmtId="43" fontId="53" fillId="20" borderId="38" xfId="59" applyFont="1" applyFill="1" applyBorder="1" applyAlignment="1">
      <alignment vertical="center" wrapText="1" readingOrder="1"/>
    </xf>
    <xf numFmtId="43" fontId="60" fillId="0" borderId="38" xfId="59" applyFont="1" applyFill="1" applyBorder="1" applyAlignment="1">
      <alignment horizontal="center" vertical="center" wrapText="1" readingOrder="1"/>
    </xf>
    <xf numFmtId="43" fontId="53" fillId="20" borderId="34" xfId="59" applyFont="1" applyFill="1" applyBorder="1" applyAlignment="1">
      <alignment vertical="center" wrapText="1" readingOrder="1"/>
    </xf>
    <xf numFmtId="43" fontId="53" fillId="20" borderId="36" xfId="59" applyFont="1" applyFill="1" applyBorder="1" applyAlignment="1">
      <alignment vertical="center" wrapText="1" readingOrder="1"/>
    </xf>
    <xf numFmtId="0" fontId="33" fillId="0" borderId="38" xfId="0" applyFont="1" applyBorder="1" applyAlignment="1">
      <alignment horizontal="center" vertical="center" wrapText="1"/>
    </xf>
    <xf numFmtId="0" fontId="33" fillId="0" borderId="38" xfId="0" applyFont="1" applyBorder="1" applyAlignment="1">
      <alignment horizontal="left" vertical="center" wrapText="1"/>
    </xf>
    <xf numFmtId="0" fontId="33" fillId="0" borderId="34" xfId="0" applyFont="1" applyBorder="1" applyAlignment="1">
      <alignment horizontal="center" vertical="center" wrapText="1"/>
    </xf>
    <xf numFmtId="0" fontId="33" fillId="0" borderId="34" xfId="0" applyFont="1" applyBorder="1" applyAlignment="1">
      <alignment horizontal="left" vertical="center" wrapText="1"/>
    </xf>
    <xf numFmtId="0" fontId="33" fillId="0" borderId="36" xfId="0" applyFont="1" applyBorder="1" applyAlignment="1">
      <alignment horizontal="center" vertical="center" wrapText="1"/>
    </xf>
    <xf numFmtId="0" fontId="33" fillId="0" borderId="36" xfId="0" applyFont="1" applyBorder="1" applyAlignment="1">
      <alignment horizontal="left" vertical="center" wrapText="1"/>
    </xf>
    <xf numFmtId="10" fontId="76" fillId="0" borderId="38" xfId="59" applyNumberFormat="1" applyFont="1" applyFill="1" applyBorder="1" applyAlignment="1">
      <alignment horizontal="center" vertical="center" wrapText="1" readingOrder="1"/>
    </xf>
    <xf numFmtId="43" fontId="76" fillId="0" borderId="34" xfId="59" applyFont="1" applyFill="1" applyBorder="1" applyAlignment="1">
      <alignment horizontal="center" vertical="center" wrapText="1" readingOrder="1"/>
    </xf>
    <xf numFmtId="168" fontId="32" fillId="0" borderId="34" xfId="237" applyNumberFormat="1" applyFont="1" applyFill="1" applyBorder="1" applyAlignment="1">
      <alignment vertical="center" wrapText="1" readingOrder="1"/>
    </xf>
    <xf numFmtId="168" fontId="32" fillId="0" borderId="36" xfId="237" applyNumberFormat="1" applyFont="1" applyFill="1" applyBorder="1" applyAlignment="1">
      <alignment vertical="center" wrapText="1" readingOrder="1"/>
    </xf>
    <xf numFmtId="43" fontId="76" fillId="0" borderId="36" xfId="59" applyFont="1" applyFill="1" applyBorder="1" applyAlignment="1">
      <alignment horizontal="center" vertical="center" wrapText="1" readingOrder="1"/>
    </xf>
    <xf numFmtId="171" fontId="33" fillId="0" borderId="5" xfId="0" applyNumberFormat="1" applyFont="1" applyBorder="1" applyAlignment="1">
      <alignment horizontal="center" vertical="center" wrapText="1"/>
    </xf>
    <xf numFmtId="0" fontId="77" fillId="23" borderId="43" xfId="270" applyFont="1" applyFill="1" applyBorder="1" applyAlignment="1">
      <alignment horizontal="center" vertical="center" wrapText="1"/>
    </xf>
    <xf numFmtId="43" fontId="77" fillId="23" borderId="43" xfId="59" applyFont="1" applyFill="1" applyBorder="1" applyAlignment="1">
      <alignment horizontal="center" vertical="center" wrapText="1"/>
    </xf>
    <xf numFmtId="0" fontId="77" fillId="23" borderId="31" xfId="270" applyFont="1" applyFill="1" applyBorder="1" applyAlignment="1">
      <alignment horizontal="center" vertical="center" wrapText="1"/>
    </xf>
    <xf numFmtId="43" fontId="77" fillId="23" borderId="31" xfId="59" applyFont="1" applyFill="1" applyBorder="1" applyAlignment="1">
      <alignment horizontal="center" vertical="center" wrapText="1"/>
    </xf>
    <xf numFmtId="0" fontId="77" fillId="23" borderId="34" xfId="270" applyFont="1" applyFill="1" applyBorder="1" applyAlignment="1">
      <alignment horizontal="center" vertical="center" wrapText="1"/>
    </xf>
    <xf numFmtId="43" fontId="77" fillId="23" borderId="34" xfId="59" applyFont="1" applyFill="1" applyBorder="1" applyAlignment="1">
      <alignment horizontal="center" vertical="center" wrapText="1"/>
    </xf>
    <xf numFmtId="0" fontId="77" fillId="23" borderId="40" xfId="270" applyFont="1" applyFill="1" applyBorder="1" applyAlignment="1">
      <alignment horizontal="center" vertical="center" wrapText="1"/>
    </xf>
    <xf numFmtId="43" fontId="77" fillId="23" borderId="40" xfId="59"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43" fontId="0" fillId="0" borderId="0" xfId="0" applyNumberFormat="1" applyAlignment="1">
      <alignment horizontal="center" vertical="center"/>
    </xf>
    <xf numFmtId="44" fontId="32" fillId="0" borderId="38" xfId="294" applyFont="1" applyFill="1" applyBorder="1" applyAlignment="1">
      <alignment vertical="center" wrapText="1" readingOrder="1"/>
    </xf>
    <xf numFmtId="44" fontId="32" fillId="0" borderId="34" xfId="294" applyFont="1" applyFill="1" applyBorder="1" applyAlignment="1">
      <alignment vertical="center" wrapText="1" readingOrder="1"/>
    </xf>
    <xf numFmtId="43" fontId="53" fillId="20" borderId="38" xfId="294" applyNumberFormat="1" applyFont="1" applyFill="1" applyBorder="1" applyAlignment="1">
      <alignment vertical="center" wrapText="1" readingOrder="1"/>
    </xf>
    <xf numFmtId="43" fontId="53" fillId="20" borderId="34" xfId="294" applyNumberFormat="1" applyFont="1" applyFill="1" applyBorder="1" applyAlignment="1">
      <alignment vertical="center" wrapText="1" readingOrder="1"/>
    </xf>
    <xf numFmtId="43" fontId="53" fillId="20" borderId="36" xfId="294" applyNumberFormat="1" applyFont="1" applyFill="1" applyBorder="1" applyAlignment="1">
      <alignment vertical="center" wrapText="1" readingOrder="1"/>
    </xf>
    <xf numFmtId="0" fontId="0" fillId="0" borderId="0" xfId="0" applyAlignment="1">
      <alignment wrapText="1"/>
    </xf>
    <xf numFmtId="17" fontId="74" fillId="18" borderId="18" xfId="0" applyNumberFormat="1" applyFont="1" applyFill="1" applyBorder="1" applyAlignment="1">
      <alignment horizontal="center" vertical="center"/>
    </xf>
    <xf numFmtId="0" fontId="74" fillId="48" borderId="1" xfId="0" applyFont="1" applyFill="1" applyBorder="1" applyAlignment="1">
      <alignment horizontal="center" vertical="center" wrapText="1"/>
    </xf>
    <xf numFmtId="0" fontId="74" fillId="48" borderId="2" xfId="0" applyFont="1" applyFill="1" applyBorder="1" applyAlignment="1">
      <alignment horizontal="center" vertical="center" wrapText="1"/>
    </xf>
    <xf numFmtId="0" fontId="74" fillId="48" borderId="2" xfId="0" applyFont="1" applyFill="1" applyBorder="1" applyAlignment="1">
      <alignment horizontal="left" vertical="center" wrapText="1"/>
    </xf>
    <xf numFmtId="17" fontId="74" fillId="48" borderId="2" xfId="0" applyNumberFormat="1" applyFont="1" applyFill="1" applyBorder="1" applyAlignment="1">
      <alignment horizontal="center" vertical="center"/>
    </xf>
    <xf numFmtId="17" fontId="75" fillId="48" borderId="3" xfId="0" applyNumberFormat="1" applyFont="1" applyFill="1" applyBorder="1" applyAlignment="1">
      <alignment horizontal="center" vertical="center"/>
    </xf>
    <xf numFmtId="169" fontId="74" fillId="48" borderId="2" xfId="0" applyNumberFormat="1" applyFont="1" applyFill="1" applyBorder="1" applyAlignment="1">
      <alignment horizontal="center" vertical="center"/>
    </xf>
    <xf numFmtId="0" fontId="74" fillId="48" borderId="4" xfId="0" applyFont="1" applyFill="1" applyBorder="1" applyAlignment="1">
      <alignment horizontal="center" vertical="center" wrapText="1"/>
    </xf>
    <xf numFmtId="0" fontId="74" fillId="48" borderId="15" xfId="0" applyFont="1" applyFill="1" applyBorder="1" applyAlignment="1">
      <alignment horizontal="center" vertical="center" wrapText="1"/>
    </xf>
    <xf numFmtId="0" fontId="74" fillId="48" borderId="15" xfId="0" applyFont="1" applyFill="1" applyBorder="1" applyAlignment="1">
      <alignment horizontal="left" vertical="center" wrapText="1"/>
    </xf>
    <xf numFmtId="17" fontId="74" fillId="48" borderId="15" xfId="0" applyNumberFormat="1" applyFont="1" applyFill="1" applyBorder="1" applyAlignment="1">
      <alignment horizontal="center" vertical="center"/>
    </xf>
    <xf numFmtId="17" fontId="75" fillId="48" borderId="14" xfId="0" applyNumberFormat="1" applyFont="1" applyFill="1" applyBorder="1" applyAlignment="1">
      <alignment horizontal="center" vertical="center"/>
    </xf>
    <xf numFmtId="0" fontId="33" fillId="26" borderId="4" xfId="0" applyFont="1" applyFill="1" applyBorder="1" applyAlignment="1">
      <alignment horizontal="center" vertical="center" wrapText="1"/>
    </xf>
    <xf numFmtId="0" fontId="33" fillId="26" borderId="15" xfId="0" applyFont="1" applyFill="1" applyBorder="1" applyAlignment="1">
      <alignment horizontal="center" vertical="center" wrapText="1"/>
    </xf>
    <xf numFmtId="0" fontId="33" fillId="26" borderId="15" xfId="0" applyFont="1" applyFill="1" applyBorder="1" applyAlignment="1">
      <alignment horizontal="left" vertical="center" wrapText="1"/>
    </xf>
    <xf numFmtId="44" fontId="33" fillId="26" borderId="15" xfId="294" applyFont="1" applyFill="1" applyBorder="1" applyAlignment="1">
      <alignment horizontal="center" vertical="center"/>
    </xf>
    <xf numFmtId="17" fontId="61" fillId="26" borderId="14" xfId="0" applyNumberFormat="1" applyFont="1" applyFill="1" applyBorder="1" applyAlignment="1">
      <alignment horizontal="center" vertical="center"/>
    </xf>
    <xf numFmtId="0" fontId="32" fillId="23" borderId="36" xfId="0" applyFont="1" applyFill="1" applyBorder="1" applyAlignment="1">
      <alignment horizontal="center" vertical="center" wrapText="1"/>
    </xf>
    <xf numFmtId="0" fontId="63" fillId="23" borderId="36" xfId="0" applyFont="1" applyFill="1" applyBorder="1" applyAlignment="1">
      <alignment horizontal="left" vertical="center" wrapText="1"/>
    </xf>
    <xf numFmtId="44" fontId="63" fillId="23" borderId="36" xfId="59" applyNumberFormat="1" applyFont="1" applyFill="1" applyBorder="1" applyAlignment="1">
      <alignment vertical="center" wrapText="1" readingOrder="1"/>
    </xf>
    <xf numFmtId="43" fontId="62" fillId="23" borderId="36" xfId="59" applyFont="1" applyFill="1" applyBorder="1" applyAlignment="1">
      <alignment horizontal="center" vertical="center" wrapText="1" readingOrder="1"/>
    </xf>
    <xf numFmtId="0" fontId="65" fillId="0" borderId="0" xfId="290" applyFont="1" applyAlignment="1">
      <alignment horizontal="center" vertical="center"/>
    </xf>
    <xf numFmtId="0" fontId="65" fillId="29" borderId="0" xfId="290" applyFont="1" applyFill="1" applyAlignment="1">
      <alignment horizontal="center" vertical="center"/>
    </xf>
    <xf numFmtId="44" fontId="65" fillId="30" borderId="26" xfId="291" applyFont="1" applyFill="1" applyBorder="1" applyAlignment="1">
      <alignment horizontal="center" vertical="center"/>
    </xf>
    <xf numFmtId="44" fontId="65" fillId="30" borderId="25" xfId="291" applyFont="1" applyFill="1" applyBorder="1" applyAlignment="1">
      <alignment horizontal="center" vertical="center"/>
    </xf>
    <xf numFmtId="0" fontId="65" fillId="0" borderId="0" xfId="290" applyFont="1" applyAlignment="1">
      <alignment vertical="center"/>
    </xf>
    <xf numFmtId="0" fontId="69" fillId="20" borderId="33" xfId="270" applyFont="1" applyFill="1" applyBorder="1" applyAlignment="1">
      <alignment horizontal="center" vertical="center" wrapText="1"/>
    </xf>
    <xf numFmtId="0" fontId="69" fillId="20" borderId="34" xfId="270" applyFont="1" applyFill="1" applyBorder="1" applyAlignment="1">
      <alignment horizontal="center" vertical="center" wrapText="1"/>
    </xf>
    <xf numFmtId="49" fontId="69" fillId="20" borderId="34" xfId="270" applyNumberFormat="1" applyFont="1" applyFill="1" applyBorder="1" applyAlignment="1">
      <alignment horizontal="center" vertical="center" wrapText="1"/>
    </xf>
    <xf numFmtId="0" fontId="69" fillId="20" borderId="34" xfId="228" applyFont="1" applyFill="1" applyBorder="1" applyAlignment="1">
      <alignment horizontal="left" vertical="center"/>
    </xf>
    <xf numFmtId="43" fontId="69" fillId="20" borderId="34" xfId="271" applyFont="1" applyFill="1" applyBorder="1" applyAlignment="1">
      <alignment horizontal="center" vertical="center" wrapText="1"/>
    </xf>
    <xf numFmtId="9" fontId="69" fillId="20" borderId="34" xfId="237" applyFont="1" applyFill="1" applyBorder="1" applyAlignment="1">
      <alignment horizontal="center" vertical="center" wrapText="1"/>
    </xf>
    <xf numFmtId="9" fontId="69" fillId="20" borderId="35" xfId="237" applyFont="1" applyFill="1" applyBorder="1" applyAlignment="1">
      <alignment horizontal="center" vertical="center" wrapText="1"/>
    </xf>
    <xf numFmtId="43" fontId="69" fillId="23" borderId="53" xfId="59" applyFont="1" applyFill="1" applyBorder="1" applyAlignment="1">
      <alignment horizontal="center" vertical="center" wrapText="1"/>
    </xf>
    <xf numFmtId="9" fontId="69" fillId="24" borderId="54" xfId="237" applyFont="1" applyFill="1" applyBorder="1" applyAlignment="1">
      <alignment horizontal="center" vertical="center" wrapText="1"/>
    </xf>
    <xf numFmtId="43" fontId="69" fillId="24" borderId="55" xfId="59" applyFont="1" applyFill="1" applyBorder="1" applyAlignment="1">
      <alignment horizontal="center" vertical="center" wrapText="1"/>
    </xf>
    <xf numFmtId="9" fontId="69" fillId="47" borderId="56" xfId="237" applyFont="1" applyFill="1" applyBorder="1" applyAlignment="1">
      <alignment horizontal="center" vertical="center" wrapText="1"/>
    </xf>
    <xf numFmtId="43" fontId="69" fillId="47" borderId="55" xfId="59" applyFont="1" applyFill="1" applyBorder="1" applyAlignment="1">
      <alignment horizontal="center" vertical="center" wrapText="1"/>
    </xf>
    <xf numFmtId="9" fontId="69" fillId="23" borderId="56" xfId="237" applyFont="1" applyFill="1" applyBorder="1" applyAlignment="1">
      <alignment horizontal="center" vertical="center" wrapText="1"/>
    </xf>
    <xf numFmtId="43" fontId="69" fillId="23" borderId="57" xfId="59" applyFont="1" applyFill="1" applyBorder="1" applyAlignment="1">
      <alignment horizontal="center" vertical="center" wrapText="1"/>
    </xf>
    <xf numFmtId="43" fontId="76" fillId="0" borderId="38" xfId="59" applyFont="1" applyFill="1" applyBorder="1" applyAlignment="1">
      <alignment horizontal="center" vertical="center" wrapText="1" readingOrder="1"/>
    </xf>
    <xf numFmtId="10" fontId="76" fillId="0" borderId="34" xfId="59" applyNumberFormat="1" applyFont="1" applyFill="1" applyBorder="1" applyAlignment="1">
      <alignment horizontal="center" vertical="center" wrapText="1" readingOrder="1"/>
    </xf>
    <xf numFmtId="0" fontId="78" fillId="49" borderId="0" xfId="0" applyFont="1" applyFill="1" applyAlignment="1">
      <alignment horizontal="center" vertical="center"/>
    </xf>
    <xf numFmtId="0" fontId="0" fillId="0" borderId="0" xfId="0" applyAlignment="1">
      <alignment vertical="center"/>
    </xf>
    <xf numFmtId="0" fontId="79" fillId="0" borderId="0" xfId="0" applyFont="1" applyAlignment="1">
      <alignment vertical="center"/>
    </xf>
    <xf numFmtId="43" fontId="0" fillId="0" borderId="0" xfId="59" applyFont="1" applyAlignment="1">
      <alignment horizontal="center" vertical="center"/>
    </xf>
    <xf numFmtId="0" fontId="78" fillId="49" borderId="68" xfId="0" applyFont="1" applyFill="1" applyBorder="1" applyAlignment="1">
      <alignment vertical="center"/>
    </xf>
    <xf numFmtId="0" fontId="79" fillId="0" borderId="68" xfId="0" applyFont="1" applyBorder="1" applyAlignment="1">
      <alignment vertical="center"/>
    </xf>
    <xf numFmtId="0" fontId="79" fillId="26" borderId="68" xfId="0" applyFont="1" applyFill="1" applyBorder="1" applyAlignment="1">
      <alignment horizontal="right" vertical="center"/>
    </xf>
    <xf numFmtId="0" fontId="78" fillId="38" borderId="0" xfId="0" applyFont="1" applyFill="1" applyAlignment="1">
      <alignment horizontal="center" vertical="center"/>
    </xf>
    <xf numFmtId="0" fontId="78" fillId="51" borderId="0" xfId="0" applyFont="1" applyFill="1" applyAlignment="1">
      <alignment vertical="center"/>
    </xf>
    <xf numFmtId="9" fontId="0" fillId="0" borderId="0" xfId="0" applyNumberFormat="1" applyAlignment="1">
      <alignment horizontal="center" vertical="center"/>
    </xf>
    <xf numFmtId="9" fontId="79" fillId="0" borderId="0" xfId="0" applyNumberFormat="1" applyFont="1" applyAlignment="1">
      <alignment horizontal="center" vertical="center"/>
    </xf>
    <xf numFmtId="0" fontId="79" fillId="0" borderId="0" xfId="0" applyFont="1" applyAlignment="1">
      <alignment horizontal="center" vertical="center"/>
    </xf>
    <xf numFmtId="0" fontId="79" fillId="0" borderId="0" xfId="0" applyFont="1" applyAlignment="1">
      <alignment horizontal="right" vertical="center"/>
    </xf>
    <xf numFmtId="43" fontId="0" fillId="0" borderId="0" xfId="59" applyFont="1" applyFill="1" applyAlignment="1">
      <alignment horizontal="center" vertical="center"/>
    </xf>
    <xf numFmtId="43" fontId="79" fillId="26" borderId="0" xfId="59" applyFont="1" applyFill="1" applyAlignment="1">
      <alignment horizontal="center" vertical="center"/>
    </xf>
    <xf numFmtId="43" fontId="79" fillId="50" borderId="0" xfId="59" applyFont="1" applyFill="1" applyAlignment="1">
      <alignment horizontal="center" vertical="center"/>
    </xf>
    <xf numFmtId="9" fontId="69" fillId="31" borderId="0" xfId="237" applyFont="1" applyFill="1" applyBorder="1" applyAlignment="1">
      <alignment horizontal="center" vertical="center"/>
    </xf>
    <xf numFmtId="9" fontId="68" fillId="33" borderId="0" xfId="237" applyFont="1" applyFill="1" applyBorder="1" applyAlignment="1">
      <alignment horizontal="center" vertical="center"/>
    </xf>
    <xf numFmtId="9" fontId="68" fillId="34" borderId="0" xfId="237" applyFont="1" applyFill="1" applyBorder="1" applyAlignment="1">
      <alignment horizontal="center" vertical="center"/>
    </xf>
    <xf numFmtId="9" fontId="0" fillId="35" borderId="0" xfId="237" applyFont="1" applyFill="1" applyBorder="1" applyAlignment="1">
      <alignment horizontal="center" vertical="center"/>
    </xf>
    <xf numFmtId="9" fontId="68" fillId="36" borderId="0" xfId="237" applyFont="1" applyFill="1" applyBorder="1" applyAlignment="1">
      <alignment horizontal="center" vertical="center"/>
    </xf>
    <xf numFmtId="9" fontId="68" fillId="37" borderId="0" xfId="237" applyFont="1" applyFill="1" applyBorder="1" applyAlignment="1">
      <alignment horizontal="center" vertical="center"/>
    </xf>
    <xf numFmtId="9" fontId="68" fillId="38" borderId="0" xfId="237" applyFont="1" applyFill="1" applyBorder="1" applyAlignment="1">
      <alignment horizontal="center" vertical="center"/>
    </xf>
    <xf numFmtId="9" fontId="0" fillId="39" borderId="0" xfId="237" applyFont="1" applyFill="1" applyBorder="1" applyAlignment="1">
      <alignment horizontal="center" vertical="center"/>
    </xf>
    <xf numFmtId="9" fontId="0" fillId="40" borderId="0" xfId="237" applyFont="1" applyFill="1" applyBorder="1" applyAlignment="1">
      <alignment horizontal="center" vertical="center"/>
    </xf>
    <xf numFmtId="9" fontId="0" fillId="41" borderId="0" xfId="237" applyFont="1" applyFill="1" applyBorder="1" applyAlignment="1">
      <alignment horizontal="center" vertical="center"/>
    </xf>
    <xf numFmtId="9" fontId="0" fillId="0" borderId="0" xfId="237" applyFont="1" applyFill="1" applyBorder="1" applyAlignment="1">
      <alignment horizontal="center" vertical="center"/>
    </xf>
    <xf numFmtId="9" fontId="0" fillId="44" borderId="0" xfId="237" applyFont="1" applyFill="1" applyBorder="1" applyAlignment="1">
      <alignment horizontal="center" vertical="center"/>
    </xf>
    <xf numFmtId="9" fontId="68" fillId="36" borderId="69" xfId="237" applyFont="1" applyFill="1" applyBorder="1" applyAlignment="1">
      <alignment horizontal="center" vertical="center"/>
    </xf>
    <xf numFmtId="9" fontId="68" fillId="37" borderId="69" xfId="237" applyFont="1" applyFill="1" applyBorder="1" applyAlignment="1">
      <alignment horizontal="center" vertical="center"/>
    </xf>
    <xf numFmtId="9" fontId="68" fillId="38" borderId="69" xfId="237" applyFont="1" applyFill="1" applyBorder="1" applyAlignment="1">
      <alignment horizontal="center" vertical="center"/>
    </xf>
    <xf numFmtId="9" fontId="0" fillId="39" borderId="69" xfId="237" applyFont="1" applyFill="1" applyBorder="1" applyAlignment="1">
      <alignment horizontal="center" vertical="center"/>
    </xf>
    <xf numFmtId="9" fontId="0" fillId="40" borderId="69" xfId="237" applyFont="1" applyFill="1" applyBorder="1" applyAlignment="1">
      <alignment horizontal="center" vertical="center"/>
    </xf>
    <xf numFmtId="9" fontId="69" fillId="0" borderId="0" xfId="237" applyFont="1" applyFill="1" applyBorder="1" applyAlignment="1">
      <alignment horizontal="center" vertical="center"/>
    </xf>
    <xf numFmtId="9" fontId="0" fillId="35" borderId="69" xfId="237" applyFont="1" applyFill="1" applyBorder="1" applyAlignment="1">
      <alignment horizontal="center" vertical="center"/>
    </xf>
    <xf numFmtId="9" fontId="80" fillId="0" borderId="0" xfId="237" applyFont="1" applyFill="1" applyBorder="1" applyAlignment="1">
      <alignment horizontal="center" vertical="center"/>
    </xf>
    <xf numFmtId="9" fontId="0" fillId="41" borderId="69" xfId="237" applyFont="1" applyFill="1" applyBorder="1" applyAlignment="1">
      <alignment horizontal="center" vertical="center"/>
    </xf>
    <xf numFmtId="9" fontId="0" fillId="42" borderId="0" xfId="237" applyFont="1" applyFill="1" applyBorder="1" applyAlignment="1">
      <alignment horizontal="center" vertical="center"/>
    </xf>
    <xf numFmtId="9" fontId="68" fillId="0" borderId="69" xfId="237" applyFont="1" applyFill="1" applyBorder="1" applyAlignment="1">
      <alignment horizontal="center" vertical="center"/>
    </xf>
    <xf numFmtId="0" fontId="69" fillId="0" borderId="0" xfId="0" applyFont="1"/>
    <xf numFmtId="0" fontId="2" fillId="0" borderId="0" xfId="270" applyFont="1" applyAlignment="1">
      <alignment horizontal="center" vertical="center" wrapText="1"/>
    </xf>
    <xf numFmtId="0" fontId="2" fillId="0" borderId="0" xfId="270" applyFont="1" applyAlignment="1">
      <alignment horizontal="right" vertical="top" wrapText="1"/>
    </xf>
    <xf numFmtId="0" fontId="2" fillId="0" borderId="0" xfId="270" applyFont="1" applyAlignment="1">
      <alignment horizontal="right" vertical="center" wrapText="1"/>
    </xf>
    <xf numFmtId="0" fontId="67" fillId="0" borderId="4" xfId="0" applyFont="1" applyBorder="1" applyAlignment="1">
      <alignment vertical="center"/>
    </xf>
    <xf numFmtId="0" fontId="67" fillId="0" borderId="14" xfId="0" applyFont="1" applyBorder="1" applyAlignment="1">
      <alignment vertical="center"/>
    </xf>
    <xf numFmtId="0" fontId="69" fillId="39" borderId="34" xfId="270" applyFont="1" applyFill="1" applyBorder="1" applyAlignment="1">
      <alignment horizontal="center" vertical="center" wrapText="1"/>
    </xf>
    <xf numFmtId="49" fontId="69" fillId="39" borderId="34" xfId="270" applyNumberFormat="1" applyFont="1" applyFill="1" applyBorder="1" applyAlignment="1">
      <alignment horizontal="center" vertical="center" wrapText="1"/>
    </xf>
    <xf numFmtId="0" fontId="69" fillId="39" borderId="34" xfId="228" applyFont="1" applyFill="1" applyBorder="1" applyAlignment="1">
      <alignment horizontal="left" vertical="center"/>
    </xf>
    <xf numFmtId="43" fontId="69" fillId="39" borderId="34" xfId="271" applyFont="1" applyFill="1" applyBorder="1" applyAlignment="1">
      <alignment horizontal="center" vertical="center" wrapText="1"/>
    </xf>
    <xf numFmtId="9" fontId="69" fillId="39" borderId="34" xfId="237" applyFont="1" applyFill="1" applyBorder="1" applyAlignment="1">
      <alignment horizontal="center" vertical="center" wrapText="1"/>
    </xf>
    <xf numFmtId="9" fontId="69" fillId="39" borderId="35" xfId="237" applyFont="1" applyFill="1" applyBorder="1" applyAlignment="1">
      <alignment horizontal="center" vertical="center" wrapText="1"/>
    </xf>
    <xf numFmtId="0" fontId="69" fillId="43" borderId="33" xfId="270" applyFont="1" applyFill="1" applyBorder="1" applyAlignment="1">
      <alignment horizontal="center" vertical="center" wrapText="1"/>
    </xf>
    <xf numFmtId="0" fontId="69" fillId="43" borderId="34" xfId="270" applyFont="1" applyFill="1" applyBorder="1" applyAlignment="1">
      <alignment horizontal="center" vertical="center" wrapText="1"/>
    </xf>
    <xf numFmtId="49" fontId="69" fillId="43" borderId="34" xfId="270" applyNumberFormat="1" applyFont="1" applyFill="1" applyBorder="1" applyAlignment="1">
      <alignment horizontal="center" vertical="center" wrapText="1"/>
    </xf>
    <xf numFmtId="0" fontId="69" fillId="43" borderId="34" xfId="228" applyFont="1" applyFill="1" applyBorder="1" applyAlignment="1">
      <alignment horizontal="left" vertical="center"/>
    </xf>
    <xf numFmtId="43" fontId="69" fillId="43" borderId="34" xfId="271" applyFont="1" applyFill="1" applyBorder="1" applyAlignment="1">
      <alignment horizontal="center" vertical="center" wrapText="1"/>
    </xf>
    <xf numFmtId="9" fontId="69" fillId="43" borderId="34" xfId="237" applyFont="1" applyFill="1" applyBorder="1" applyAlignment="1">
      <alignment horizontal="center" vertical="center" wrapText="1"/>
    </xf>
    <xf numFmtId="9" fontId="69" fillId="43" borderId="35" xfId="237" applyFont="1" applyFill="1" applyBorder="1" applyAlignment="1">
      <alignment horizontal="center" vertical="center" wrapText="1"/>
    </xf>
    <xf numFmtId="43" fontId="0" fillId="0" borderId="0" xfId="59" applyFont="1" applyAlignment="1">
      <alignment vertical="center"/>
    </xf>
    <xf numFmtId="43" fontId="0" fillId="0" borderId="0" xfId="59" applyFont="1"/>
    <xf numFmtId="9" fontId="0" fillId="0" borderId="28" xfId="237" applyFont="1" applyFill="1" applyBorder="1" applyAlignment="1">
      <alignment horizontal="center" vertical="center"/>
    </xf>
    <xf numFmtId="44" fontId="80" fillId="27" borderId="5" xfId="294" applyFont="1" applyFill="1" applyBorder="1" applyAlignment="1">
      <alignment horizontal="center" vertical="center"/>
    </xf>
    <xf numFmtId="9" fontId="0" fillId="0" borderId="27" xfId="237" applyFont="1" applyFill="1" applyBorder="1" applyAlignment="1">
      <alignment horizontal="center" vertical="center"/>
    </xf>
    <xf numFmtId="43" fontId="0" fillId="0" borderId="0" xfId="59" applyFont="1" applyFill="1"/>
    <xf numFmtId="0" fontId="69" fillId="31" borderId="0" xfId="0" applyFont="1" applyFill="1"/>
    <xf numFmtId="43" fontId="69" fillId="31" borderId="0" xfId="59" applyFont="1" applyFill="1"/>
    <xf numFmtId="9" fontId="69" fillId="31" borderId="27" xfId="237" applyFont="1" applyFill="1" applyBorder="1" applyAlignment="1">
      <alignment horizontal="center" vertical="center"/>
    </xf>
    <xf numFmtId="43" fontId="69" fillId="0" borderId="0" xfId="59" applyFont="1"/>
    <xf numFmtId="9" fontId="69" fillId="0" borderId="27" xfId="237" applyFont="1" applyFill="1" applyBorder="1" applyAlignment="1">
      <alignment horizontal="center" vertical="center"/>
    </xf>
    <xf numFmtId="44" fontId="80" fillId="27" borderId="18" xfId="294" applyFont="1" applyFill="1" applyBorder="1" applyAlignment="1">
      <alignment horizontal="center" vertical="center"/>
    </xf>
    <xf numFmtId="43" fontId="69" fillId="0" borderId="0" xfId="59" applyFont="1" applyFill="1"/>
    <xf numFmtId="9" fontId="0" fillId="42" borderId="69" xfId="237" applyFont="1" applyFill="1" applyBorder="1" applyAlignment="1">
      <alignment horizontal="center" vertical="center"/>
    </xf>
    <xf numFmtId="9" fontId="0" fillId="45" borderId="69" xfId="237" applyFont="1" applyFill="1" applyBorder="1" applyAlignment="1">
      <alignment horizontal="center" vertical="center"/>
    </xf>
    <xf numFmtId="9" fontId="0" fillId="44" borderId="69" xfId="237" applyFont="1" applyFill="1" applyBorder="1" applyAlignment="1">
      <alignment horizontal="center" vertical="center"/>
    </xf>
    <xf numFmtId="9" fontId="68" fillId="33" borderId="69" xfId="237" applyFont="1" applyFill="1" applyBorder="1" applyAlignment="1">
      <alignment horizontal="center" vertical="center"/>
    </xf>
    <xf numFmtId="9" fontId="68" fillId="34" borderId="69" xfId="237" applyFont="1" applyFill="1" applyBorder="1" applyAlignment="1">
      <alignment horizontal="center" vertical="center"/>
    </xf>
    <xf numFmtId="43" fontId="53" fillId="52" borderId="36" xfId="294" applyNumberFormat="1" applyFont="1" applyFill="1" applyBorder="1" applyAlignment="1">
      <alignment vertical="center" wrapText="1" readingOrder="1"/>
    </xf>
    <xf numFmtId="9" fontId="31" fillId="32" borderId="0" xfId="237" applyFont="1" applyFill="1" applyAlignment="1">
      <alignment horizontal="center"/>
    </xf>
    <xf numFmtId="9" fontId="31" fillId="43" borderId="0" xfId="237" applyFont="1" applyFill="1" applyAlignment="1">
      <alignment horizontal="center"/>
    </xf>
    <xf numFmtId="9" fontId="31" fillId="0" borderId="28" xfId="237" applyFont="1" applyFill="1" applyBorder="1" applyAlignment="1">
      <alignment horizontal="center" vertical="center"/>
    </xf>
    <xf numFmtId="9" fontId="31" fillId="31" borderId="0" xfId="237" applyFont="1" applyFill="1" applyAlignment="1">
      <alignment horizontal="center"/>
    </xf>
    <xf numFmtId="9" fontId="31" fillId="31" borderId="28" xfId="237" applyFont="1" applyFill="1" applyBorder="1" applyAlignment="1">
      <alignment horizontal="center" vertical="center"/>
    </xf>
    <xf numFmtId="9" fontId="31" fillId="0" borderId="70" xfId="237" applyFont="1" applyFill="1" applyBorder="1" applyAlignment="1">
      <alignment horizontal="center" vertical="center"/>
    </xf>
    <xf numFmtId="9" fontId="31" fillId="0" borderId="0" xfId="237" applyFont="1" applyFill="1" applyBorder="1" applyAlignment="1">
      <alignment horizontal="center" vertical="center"/>
    </xf>
    <xf numFmtId="43" fontId="65" fillId="18" borderId="0" xfId="0" applyNumberFormat="1" applyFont="1" applyFill="1" applyAlignment="1">
      <alignment horizontal="center" vertical="center"/>
    </xf>
    <xf numFmtId="0" fontId="67" fillId="0" borderId="0" xfId="0" applyFont="1" applyAlignment="1">
      <alignment vertical="center"/>
    </xf>
    <xf numFmtId="43" fontId="67" fillId="0" borderId="0" xfId="0" applyNumberFormat="1" applyFont="1" applyAlignment="1">
      <alignment horizontal="center" vertical="center"/>
    </xf>
    <xf numFmtId="0" fontId="65" fillId="0" borderId="0" xfId="0" applyFont="1" applyAlignment="1">
      <alignment vertical="center"/>
    </xf>
    <xf numFmtId="0" fontId="65" fillId="0" borderId="0" xfId="0" applyFont="1" applyAlignment="1">
      <alignment horizontal="center" vertical="center"/>
    </xf>
    <xf numFmtId="43" fontId="65" fillId="18" borderId="0" xfId="0" applyNumberFormat="1" applyFont="1" applyFill="1" applyAlignment="1">
      <alignment horizontal="right" vertical="center"/>
    </xf>
    <xf numFmtId="43" fontId="53" fillId="53" borderId="38" xfId="294" applyNumberFormat="1" applyFont="1" applyFill="1" applyBorder="1" applyAlignment="1">
      <alignment vertical="center" wrapText="1" readingOrder="1"/>
    </xf>
    <xf numFmtId="43" fontId="53" fillId="53" borderId="34" xfId="294" applyNumberFormat="1" applyFont="1" applyFill="1" applyBorder="1" applyAlignment="1">
      <alignment vertical="center" wrapText="1" readingOrder="1"/>
    </xf>
    <xf numFmtId="43" fontId="53" fillId="53" borderId="36" xfId="294" applyNumberFormat="1" applyFont="1" applyFill="1" applyBorder="1" applyAlignment="1">
      <alignment vertical="center" wrapText="1" readingOrder="1"/>
    </xf>
    <xf numFmtId="169" fontId="53" fillId="53" borderId="34" xfId="59" applyNumberFormat="1" applyFont="1" applyFill="1" applyBorder="1" applyAlignment="1">
      <alignment vertical="center" wrapText="1" readingOrder="1"/>
    </xf>
    <xf numFmtId="0" fontId="33" fillId="0" borderId="18" xfId="0" applyFont="1" applyBorder="1" applyAlignment="1">
      <alignment horizontal="center" vertical="center" wrapText="1"/>
    </xf>
    <xf numFmtId="0" fontId="33" fillId="0" borderId="19" xfId="0" applyFont="1" applyBorder="1" applyAlignment="1">
      <alignment horizontal="center" vertical="center" wrapText="1"/>
    </xf>
    <xf numFmtId="17" fontId="65" fillId="18" borderId="23" xfId="270" applyNumberFormat="1" applyFont="1" applyFill="1" applyBorder="1" applyAlignment="1">
      <alignment horizontal="center" vertical="center" wrapText="1"/>
    </xf>
    <xf numFmtId="17" fontId="65" fillId="18" borderId="21" xfId="270" applyNumberFormat="1" applyFont="1" applyFill="1" applyBorder="1" applyAlignment="1">
      <alignment horizontal="center" vertical="center" wrapText="1"/>
    </xf>
    <xf numFmtId="17" fontId="65" fillId="18" borderId="22" xfId="270" applyNumberFormat="1" applyFont="1" applyFill="1" applyBorder="1" applyAlignment="1">
      <alignment horizontal="center" vertical="center" wrapText="1"/>
    </xf>
    <xf numFmtId="9" fontId="65" fillId="18" borderId="20" xfId="237" applyFont="1" applyFill="1" applyBorder="1" applyAlignment="1">
      <alignment horizontal="center" vertical="center" wrapText="1"/>
    </xf>
    <xf numFmtId="9" fontId="65" fillId="18" borderId="21" xfId="237" applyFont="1" applyFill="1" applyBorder="1" applyAlignment="1">
      <alignment horizontal="center" vertical="center" wrapText="1"/>
    </xf>
    <xf numFmtId="9" fontId="65" fillId="18" borderId="22" xfId="237" applyFont="1" applyFill="1" applyBorder="1" applyAlignment="1">
      <alignment horizontal="center" vertical="center" wrapText="1"/>
    </xf>
    <xf numFmtId="0" fontId="65" fillId="18" borderId="24" xfId="228" applyFont="1" applyFill="1" applyBorder="1" applyAlignment="1">
      <alignment horizontal="center" vertical="center" wrapText="1"/>
    </xf>
    <xf numFmtId="0" fontId="33" fillId="0" borderId="1" xfId="0" applyFont="1" applyBorder="1" applyAlignment="1">
      <alignment horizontal="right" vertical="center" wrapText="1"/>
    </xf>
    <xf numFmtId="0" fontId="33" fillId="0" borderId="2" xfId="0" applyFont="1" applyBorder="1" applyAlignment="1">
      <alignment horizontal="right" vertical="center" wrapText="1"/>
    </xf>
    <xf numFmtId="0" fontId="33" fillId="0" borderId="3" xfId="0" applyFont="1" applyBorder="1" applyAlignment="1">
      <alignment horizontal="right" vertical="center" wrapText="1"/>
    </xf>
    <xf numFmtId="0" fontId="33" fillId="0" borderId="71" xfId="0" applyFont="1" applyBorder="1" applyAlignment="1">
      <alignment horizontal="right" vertical="center" wrapText="1"/>
    </xf>
    <xf numFmtId="0" fontId="33" fillId="0" borderId="0" xfId="0" applyFont="1" applyBorder="1" applyAlignment="1">
      <alignment horizontal="right" vertical="center" wrapText="1"/>
    </xf>
    <xf numFmtId="0" fontId="33" fillId="0" borderId="68" xfId="0" applyFont="1" applyBorder="1" applyAlignment="1">
      <alignment horizontal="right" vertical="center" wrapText="1"/>
    </xf>
    <xf numFmtId="0" fontId="33" fillId="0" borderId="72" xfId="0" applyFont="1" applyBorder="1" applyAlignment="1">
      <alignment horizontal="right" vertical="center" wrapText="1"/>
    </xf>
    <xf numFmtId="0" fontId="33" fillId="0" borderId="73" xfId="0" applyFont="1" applyBorder="1" applyAlignment="1">
      <alignment horizontal="right" vertical="center" wrapText="1"/>
    </xf>
    <xf numFmtId="0" fontId="33" fillId="0" borderId="74" xfId="0" applyFont="1" applyBorder="1" applyAlignment="1">
      <alignment horizontal="right" vertical="center" wrapText="1"/>
    </xf>
    <xf numFmtId="0" fontId="52" fillId="18" borderId="1" xfId="0" applyFont="1" applyFill="1" applyBorder="1" applyAlignment="1">
      <alignment horizontal="center" vertical="center" wrapText="1"/>
    </xf>
    <xf numFmtId="0" fontId="52" fillId="18" borderId="2" xfId="0" applyFont="1" applyFill="1" applyBorder="1" applyAlignment="1">
      <alignment horizontal="center" vertical="center" wrapText="1"/>
    </xf>
    <xf numFmtId="0" fontId="52" fillId="18" borderId="3" xfId="0" applyFont="1" applyFill="1" applyBorder="1" applyAlignment="1">
      <alignment horizontal="center" vertical="center" wrapText="1"/>
    </xf>
    <xf numFmtId="0" fontId="52" fillId="18" borderId="71" xfId="0" applyFont="1" applyFill="1" applyBorder="1" applyAlignment="1">
      <alignment horizontal="center" vertical="center" wrapText="1"/>
    </xf>
    <xf numFmtId="0" fontId="52" fillId="18" borderId="0" xfId="0" applyFont="1" applyFill="1" applyBorder="1" applyAlignment="1">
      <alignment horizontal="center" vertical="center" wrapText="1"/>
    </xf>
    <xf numFmtId="0" fontId="52" fillId="18" borderId="68" xfId="0" applyFont="1" applyFill="1" applyBorder="1" applyAlignment="1">
      <alignment horizontal="center" vertical="center" wrapText="1"/>
    </xf>
    <xf numFmtId="0" fontId="52" fillId="18" borderId="72" xfId="0" applyFont="1" applyFill="1" applyBorder="1" applyAlignment="1">
      <alignment horizontal="center" vertical="center" wrapText="1"/>
    </xf>
    <xf numFmtId="0" fontId="52" fillId="18" borderId="73" xfId="0" applyFont="1" applyFill="1" applyBorder="1" applyAlignment="1">
      <alignment horizontal="center" vertical="center" wrapText="1"/>
    </xf>
    <xf numFmtId="0" fontId="52" fillId="18" borderId="74" xfId="0" applyFont="1" applyFill="1" applyBorder="1" applyAlignment="1">
      <alignment horizontal="center" vertical="center" wrapText="1"/>
    </xf>
    <xf numFmtId="44" fontId="80" fillId="27" borderId="67" xfId="294" applyFont="1" applyFill="1" applyBorder="1" applyAlignment="1">
      <alignment horizontal="center" vertical="center"/>
    </xf>
    <xf numFmtId="9" fontId="69" fillId="31" borderId="27" xfId="237" applyNumberFormat="1" applyFont="1" applyFill="1" applyBorder="1" applyAlignment="1">
      <alignment horizontal="center" vertical="center"/>
    </xf>
    <xf numFmtId="9" fontId="0" fillId="0" borderId="69" xfId="237" applyFont="1" applyFill="1" applyBorder="1" applyAlignment="1">
      <alignment horizontal="center" vertical="center"/>
    </xf>
    <xf numFmtId="0" fontId="81" fillId="27" borderId="5" xfId="291" applyNumberFormat="1" applyFont="1" applyFill="1" applyBorder="1" applyAlignment="1">
      <alignment horizontal="center" vertical="center"/>
    </xf>
    <xf numFmtId="43" fontId="0" fillId="0" borderId="0" xfId="0" pivotButton="1" applyNumberFormat="1" applyAlignment="1">
      <alignment horizontal="center" vertical="center"/>
    </xf>
    <xf numFmtId="43" fontId="0" fillId="0" borderId="0" xfId="0" pivotButton="1" applyNumberFormat="1" applyAlignment="1">
      <alignment horizontal="center" vertical="center" wrapText="1"/>
    </xf>
    <xf numFmtId="43" fontId="0" fillId="0" borderId="0" xfId="0" applyNumberFormat="1" applyAlignment="1">
      <alignment horizontal="center" vertical="center" wrapText="1"/>
    </xf>
  </cellXfs>
  <cellStyles count="296">
    <cellStyle name="20% - Accent1" xfId="4" xr:uid="{00000000-0005-0000-0000-000000000000}"/>
    <cellStyle name="20% - Accent2" xfId="5" xr:uid="{00000000-0005-0000-0000-000001000000}"/>
    <cellStyle name="20% - Accent3" xfId="6" xr:uid="{00000000-0005-0000-0000-000002000000}"/>
    <cellStyle name="20% - Accent4" xfId="7" xr:uid="{00000000-0005-0000-0000-000003000000}"/>
    <cellStyle name="20% - Accent5" xfId="8" xr:uid="{00000000-0005-0000-0000-000004000000}"/>
    <cellStyle name="20% - Accent6" xfId="9" xr:uid="{00000000-0005-0000-0000-000005000000}"/>
    <cellStyle name="40% - Accent1" xfId="10" xr:uid="{00000000-0005-0000-0000-000006000000}"/>
    <cellStyle name="40% - Accent2" xfId="11" xr:uid="{00000000-0005-0000-0000-000007000000}"/>
    <cellStyle name="40% - Accent3" xfId="12" xr:uid="{00000000-0005-0000-0000-000008000000}"/>
    <cellStyle name="40% - Accent4" xfId="13" xr:uid="{00000000-0005-0000-0000-000009000000}"/>
    <cellStyle name="40% - Accent5" xfId="14" xr:uid="{00000000-0005-0000-0000-00000A000000}"/>
    <cellStyle name="40% - Accent6" xfId="15" xr:uid="{00000000-0005-0000-0000-00000B000000}"/>
    <cellStyle name="60% - Accent1" xfId="16" xr:uid="{00000000-0005-0000-0000-00000C000000}"/>
    <cellStyle name="60% - Accent2" xfId="17" xr:uid="{00000000-0005-0000-0000-00000D000000}"/>
    <cellStyle name="60% - Accent3" xfId="18" xr:uid="{00000000-0005-0000-0000-00000E000000}"/>
    <cellStyle name="60% - Accent4" xfId="19" xr:uid="{00000000-0005-0000-0000-00000F000000}"/>
    <cellStyle name="60% - Accent5" xfId="20" xr:uid="{00000000-0005-0000-0000-000010000000}"/>
    <cellStyle name="60% - Accent6" xfId="21" xr:uid="{00000000-0005-0000-0000-000011000000}"/>
    <cellStyle name="Accent1" xfId="22" xr:uid="{00000000-0005-0000-0000-000012000000}"/>
    <cellStyle name="Accent2" xfId="23" xr:uid="{00000000-0005-0000-0000-000013000000}"/>
    <cellStyle name="Accent3" xfId="24" xr:uid="{00000000-0005-0000-0000-000014000000}"/>
    <cellStyle name="Accent4" xfId="25" xr:uid="{00000000-0005-0000-0000-000015000000}"/>
    <cellStyle name="Accent5" xfId="26" xr:uid="{00000000-0005-0000-0000-000016000000}"/>
    <cellStyle name="Accent6" xfId="27" xr:uid="{00000000-0005-0000-0000-000017000000}"/>
    <cellStyle name="Bad" xfId="28" xr:uid="{00000000-0005-0000-0000-000018000000}"/>
    <cellStyle name="Calculation" xfId="29" xr:uid="{00000000-0005-0000-0000-000019000000}"/>
    <cellStyle name="Cancel" xfId="202" xr:uid="{CF7A3C84-4E9C-4CDD-A996-E0B8BEB69AC1}"/>
    <cellStyle name="Cancel 2" xfId="203" xr:uid="{FCCC43BC-6A65-439B-A3B4-E5489866A8C5}"/>
    <cellStyle name="Cancel 2 2" xfId="212" xr:uid="{EB77B174-052E-4798-86BA-D4CF6301FF07}"/>
    <cellStyle name="Cancel 3" xfId="219" xr:uid="{7EF9797C-1234-493A-A60E-57B730168BB8}"/>
    <cellStyle name="Cancel 4" xfId="211" xr:uid="{CBB01656-33C7-42E5-BC1A-97C420A53537}"/>
    <cellStyle name="Cancel_1_PPU+EAC" xfId="204" xr:uid="{F001E4A6-78B2-45CF-9521-54B94B91DB4B}"/>
    <cellStyle name="Check Cell" xfId="30" xr:uid="{00000000-0005-0000-0000-00001A000000}"/>
    <cellStyle name="Estilo 1" xfId="31" xr:uid="{00000000-0005-0000-0000-00001B000000}"/>
    <cellStyle name="Euro" xfId="76" xr:uid="{086E4796-ED91-47A0-AE75-BC9162410E29}"/>
    <cellStyle name="Excel Built-in Normal" xfId="77" xr:uid="{BAB74D4E-FD22-4386-A8AC-C2857A69D134}"/>
    <cellStyle name="Explanatory Text" xfId="32" xr:uid="{00000000-0005-0000-0000-00001C000000}"/>
    <cellStyle name="Good" xfId="33" xr:uid="{00000000-0005-0000-0000-00001D000000}"/>
    <cellStyle name="Heading 1" xfId="34" xr:uid="{00000000-0005-0000-0000-00001E000000}"/>
    <cellStyle name="Heading 2" xfId="35" xr:uid="{00000000-0005-0000-0000-00001F000000}"/>
    <cellStyle name="Heading 3" xfId="36" xr:uid="{00000000-0005-0000-0000-000020000000}"/>
    <cellStyle name="Heading 4" xfId="37" xr:uid="{00000000-0005-0000-0000-000021000000}"/>
    <cellStyle name="Hiperlink 2" xfId="78" xr:uid="{420B5BE3-EDB2-4383-9582-84EC52EB87D0}"/>
    <cellStyle name="Hiperlink 2 2" xfId="79" xr:uid="{BA6ED520-6416-4BA5-B162-5187B0C75EC7}"/>
    <cellStyle name="Hiperlink 2 3" xfId="80" xr:uid="{C3D30049-7B1B-466D-8D5D-00F4A38B5443}"/>
    <cellStyle name="Hyperlink 2" xfId="38" xr:uid="{00000000-0005-0000-0000-000022000000}"/>
    <cellStyle name="Input" xfId="39" xr:uid="{00000000-0005-0000-0000-000023000000}"/>
    <cellStyle name="Linked Cell" xfId="40" xr:uid="{00000000-0005-0000-0000-000024000000}"/>
    <cellStyle name="Moeda" xfId="294" builtinId="4"/>
    <cellStyle name="Moeda 10" xfId="229" xr:uid="{A297B909-35CD-445B-873C-6A125D49EE99}"/>
    <cellStyle name="Moeda 10 2" xfId="235" xr:uid="{82CE8471-9A2E-4031-9EB2-FBF7208CBEF7}"/>
    <cellStyle name="Moeda 11" xfId="255" xr:uid="{CFD2BF8B-E2E1-47FA-A5EE-8A4FB105EAAA}"/>
    <cellStyle name="Moeda 12" xfId="258" xr:uid="{014350A6-1B9C-4281-9B75-59AE54295488}"/>
    <cellStyle name="Moeda 13" xfId="262" xr:uid="{E2ACEA71-5556-499D-BEBE-6A3A6345D923}"/>
    <cellStyle name="Moeda 14" xfId="266" xr:uid="{C47698E2-DF11-4DE0-AC6C-83E8DE14C611}"/>
    <cellStyle name="Moeda 15" xfId="272" xr:uid="{8C703C14-06B1-4CFE-AA91-BFB558381C96}"/>
    <cellStyle name="Moeda 15 2" xfId="289" xr:uid="{E0953326-9280-4B5A-9853-69F551819917}"/>
    <cellStyle name="Moeda 16" xfId="280" xr:uid="{AD31B6B8-8250-43E3-A311-3AF4DE0F86C3}"/>
    <cellStyle name="Moeda 17" xfId="291" xr:uid="{E146EC6C-9D90-4410-BE93-47289022667B}"/>
    <cellStyle name="Moeda 2" xfId="41" xr:uid="{00000000-0005-0000-0000-000025000000}"/>
    <cellStyle name="Moeda 2 2" xfId="82" xr:uid="{9ABD54A8-E9F7-44ED-BF56-ABA76E0955C3}"/>
    <cellStyle name="Moeda 2 2 2" xfId="215" xr:uid="{58B05220-EF19-4432-93B9-6DAFD9983160}"/>
    <cellStyle name="Moeda 2 2 2 2" xfId="284" xr:uid="{B42C8881-9439-467F-B8AA-74642FF7DEE9}"/>
    <cellStyle name="Moeda 2 2 3" xfId="279" xr:uid="{B504A813-E57F-4145-B0EE-9655B248DEFA}"/>
    <cellStyle name="Moeda 2 3" xfId="207" xr:uid="{A9161305-BA9B-4D77-8080-3E9D61B9A691}"/>
    <cellStyle name="Moeda 2 3 2" xfId="282" xr:uid="{434BE8D9-058F-40BA-954D-157370E8B93F}"/>
    <cellStyle name="Moeda 2 4" xfId="81" xr:uid="{5E9CBB9F-8163-483E-A7AF-B2A33536827C}"/>
    <cellStyle name="Moeda 2 5" xfId="277" xr:uid="{604D4649-A0E3-493F-ACD8-B2C6E009C609}"/>
    <cellStyle name="Moeda 3" xfId="63" xr:uid="{1D98DF01-4B67-4B7F-821A-937B0C5F12D5}"/>
    <cellStyle name="Moeda 3 2" xfId="84" xr:uid="{0173595F-AE8A-4F2B-AFA8-13A3F61902E7}"/>
    <cellStyle name="Moeda 3 2 2" xfId="143" xr:uid="{B20F7610-B4E1-4928-919C-6305C61EED22}"/>
    <cellStyle name="Moeda 3 2 2 2" xfId="178" xr:uid="{30914BE5-232D-4659-8C17-E8D60CC53A28}"/>
    <cellStyle name="Moeda 3 3" xfId="83" xr:uid="{9C47706E-12B3-4594-BAD9-1D7B62F76DEA}"/>
    <cellStyle name="Moeda 3 4" xfId="285" xr:uid="{A9538752-C42A-439F-880E-F12DA90013C4}"/>
    <cellStyle name="Moeda 4" xfId="85" xr:uid="{85B1501B-07F3-4A1F-87F4-22299B152183}"/>
    <cellStyle name="Moeda 4 2" xfId="86" xr:uid="{A69CD9D7-AA47-4F09-A285-8C9BDFB59D1E}"/>
    <cellStyle name="Moeda 5" xfId="87" xr:uid="{1365B9D8-6467-41BD-8C3D-E362563C38C6}"/>
    <cellStyle name="Moeda 6" xfId="88" xr:uid="{93D15918-2628-45CD-B602-388C50E72D0C}"/>
    <cellStyle name="Moeda 6 2" xfId="89" xr:uid="{57A57807-E937-4C58-88B9-74C688BA029A}"/>
    <cellStyle name="Moeda 7" xfId="90" xr:uid="{B70EAEEF-E941-4A00-A943-3A8433BA1734}"/>
    <cellStyle name="Moeda 7 2" xfId="144" xr:uid="{C78D7824-18CB-420D-B377-5B6DFA5C6F1A}"/>
    <cellStyle name="Moeda 8" xfId="91" xr:uid="{1139614C-D52A-446A-8838-5B7C29E11359}"/>
    <cellStyle name="Moeda 8 2" xfId="145" xr:uid="{4952D988-CEA2-45F2-B881-7CF6FD5FB028}"/>
    <cellStyle name="Moeda 9" xfId="234" xr:uid="{F1BC620A-D2A0-4CCB-9D83-0D049A8C1B5B}"/>
    <cellStyle name="Neutral" xfId="42" xr:uid="{00000000-0005-0000-0000-000026000000}"/>
    <cellStyle name="Normal" xfId="0" builtinId="0"/>
    <cellStyle name="Normal 10" xfId="70" xr:uid="{97574F06-E3A8-40AD-AC63-DDD1C376489E}"/>
    <cellStyle name="Normal 10 2" xfId="92" xr:uid="{F44F087B-A166-4916-9D08-F540913CF48B}"/>
    <cellStyle name="Normal 10 3" xfId="201" xr:uid="{E6098A0A-8085-44C0-9EC8-FAEEBB0BEE67}"/>
    <cellStyle name="Normal 11" xfId="72" xr:uid="{FCB72104-87C0-442F-9F5F-2777C28E5F75}"/>
    <cellStyle name="Normal 11 2" xfId="93" xr:uid="{86FCC7E8-A132-4905-8BFA-922E6DB4B246}"/>
    <cellStyle name="Normal 11 3" xfId="226" xr:uid="{479C3CE9-D362-459E-BBDC-962C195FD3DB}"/>
    <cellStyle name="Normal 12" xfId="74" xr:uid="{83625B5E-EAD9-42C2-8482-E9D00A24687D}"/>
    <cellStyle name="Normal 13" xfId="75" xr:uid="{85ED9002-9401-4D98-8BAD-2F39F5CE54B0}"/>
    <cellStyle name="Normal 13 2" xfId="225" xr:uid="{5DE8D228-2AB6-4C18-AD68-3B3A097EF279}"/>
    <cellStyle name="Normal 13 3" xfId="228" xr:uid="{D7656B5D-198F-4320-A6CF-161CA69AAEEF}"/>
    <cellStyle name="Normal 14" xfId="233" xr:uid="{7A3C91D3-FF97-4280-BCF6-5D1398AB9690}"/>
    <cellStyle name="Normal 15" xfId="240" xr:uid="{44551F49-9EC3-4CFB-8EDA-C0CD7219E8B2}"/>
    <cellStyle name="Normal 15 2" xfId="245" xr:uid="{A8C56B76-4D9A-44F1-A12B-12744480A0AB}"/>
    <cellStyle name="Normal 16" xfId="242" xr:uid="{0748938E-7756-48B3-AE9C-02C09B26ED5C}"/>
    <cellStyle name="Normal 17" xfId="243" xr:uid="{350ED507-E4CA-4150-BAB1-7B5DC67DF9F9}"/>
    <cellStyle name="Normal 18" xfId="247" xr:uid="{B5CE53B5-1654-4594-A04D-4B64A872CEC6}"/>
    <cellStyle name="Normal 19" xfId="268" xr:uid="{895D1A5A-F49A-49C6-87A6-5488B66C0305}"/>
    <cellStyle name="Normal 2" xfId="1" xr:uid="{00000000-0005-0000-0000-000028000000}"/>
    <cellStyle name="Normal 2 2" xfId="43" xr:uid="{00000000-0005-0000-0000-000029000000}"/>
    <cellStyle name="Normal 2 2 2" xfId="168" xr:uid="{43BDDD19-A64F-4C9E-91F9-B1CC8D4D7400}"/>
    <cellStyle name="Normal 2 2 3" xfId="213" xr:uid="{2726589A-1B3E-43B1-9412-00E9029D14C4}"/>
    <cellStyle name="Normal 2 3" xfId="94" xr:uid="{A3C4263D-9369-4FC2-90CF-8FA540B8D657}"/>
    <cellStyle name="Normal 2 3 2" xfId="95" xr:uid="{6B3F0CFE-2726-485E-873C-B86B1AFF165E}"/>
    <cellStyle name="Normal 2 4" xfId="205" xr:uid="{510B7B14-D6C5-466B-8D45-66C1F08F291C}"/>
    <cellStyle name="Normal 2_Previsão_BMS_05_10mar10_Rev 0-Alterações" xfId="44" xr:uid="{00000000-0005-0000-0000-00002A000000}"/>
    <cellStyle name="Normal 20" xfId="274" xr:uid="{5F95EA01-F1D6-4252-95A6-2E5B94AD08EB}"/>
    <cellStyle name="Normal 21" xfId="290" xr:uid="{46F61379-8A2F-41A5-BB53-9A23EA4A1BD3}"/>
    <cellStyle name="Normal 22" xfId="295" xr:uid="{57EA6A74-3FAB-44CF-A4A0-C50603BF7500}"/>
    <cellStyle name="Normal 3" xfId="45" xr:uid="{00000000-0005-0000-0000-00002B000000}"/>
    <cellStyle name="Normal 3 2" xfId="97" xr:uid="{DA432F08-870B-4100-B30C-D406AFB091EA}"/>
    <cellStyle name="Normal 3 2 2" xfId="214" xr:uid="{26FC5286-72DB-43F9-8EE0-229E017911FB}"/>
    <cellStyle name="Normal 3 3" xfId="146" xr:uid="{F2BE846B-E093-43C7-B4A7-C0AC0F0FCC7B}"/>
    <cellStyle name="Normal 3 3 2" xfId="179" xr:uid="{8B8B457D-2C96-4B14-9D9F-BC4D796BECA5}"/>
    <cellStyle name="Normal 3 4" xfId="171" xr:uid="{96D60FCC-DEAF-4EE7-88FA-C11496B7E51C}"/>
    <cellStyle name="Normal 3 5" xfId="206" xr:uid="{9DBCD3D4-32E1-4774-B04E-058D5BAEFB68}"/>
    <cellStyle name="Normal 3 6" xfId="96" xr:uid="{B40B76C7-BA29-49B9-8DF7-0BF24BD65B09}"/>
    <cellStyle name="Normal 4" xfId="46" xr:uid="{00000000-0005-0000-0000-00002C000000}"/>
    <cellStyle name="Normal 4 2" xfId="216" xr:uid="{604BEDA5-8A99-4204-B80D-CC79616ACC24}"/>
    <cellStyle name="Normal 4 3" xfId="208" xr:uid="{13D03E9C-43DE-4480-8D0F-AECF38805EAB}"/>
    <cellStyle name="Normal 4 4" xfId="98" xr:uid="{A3BA6386-84DD-45A1-BE07-D99C1916FFA6}"/>
    <cellStyle name="Normal 5" xfId="47" xr:uid="{00000000-0005-0000-0000-00002D000000}"/>
    <cellStyle name="Normal 6" xfId="60" xr:uid="{F9B88CF5-699E-4533-9397-7780FAD0A820}"/>
    <cellStyle name="Normal 6 2" xfId="100" xr:uid="{86D75872-A28F-4082-9AA1-EC665B2DAAEA}"/>
    <cellStyle name="Normal 6 2 2" xfId="218" xr:uid="{946409B4-404A-430D-995A-482740C20E2B}"/>
    <cellStyle name="Normal 6 3" xfId="221" xr:uid="{44E0F8D5-A3E5-4905-B2A3-4EA4ABAABB6E}"/>
    <cellStyle name="Normal 6 4" xfId="210" xr:uid="{B5F394A1-3C48-4DDE-B32D-6353BB22BCB2}"/>
    <cellStyle name="Normal 6 5" xfId="99" xr:uid="{B472F758-9CD7-4938-9A6A-69AFC07A1698}"/>
    <cellStyle name="Normal 7" xfId="64" xr:uid="{63E2270C-61EC-43CC-9B0C-83DE5746E818}"/>
    <cellStyle name="Normal 7 2" xfId="222" xr:uid="{FB1978CA-6A36-43B4-A050-DDC7B47E5ACF}"/>
    <cellStyle name="Normal 7 3" xfId="101" xr:uid="{0E61E8FB-F288-4894-A113-BF54D931993C}"/>
    <cellStyle name="Normal 7 4" xfId="230" xr:uid="{09179D25-4BE7-4AFA-882D-AAC8829E8471}"/>
    <cellStyle name="Normal 7 5" xfId="238" xr:uid="{79146B26-EF00-4BC5-BC3A-394C4DE1E9D2}"/>
    <cellStyle name="Normal 7 6" xfId="248" xr:uid="{4A53B7D4-6993-450A-B263-A2D08374BF70}"/>
    <cellStyle name="Normal 7 6 2" xfId="250" xr:uid="{7D65BD76-2359-4713-9835-4A481C55002F}"/>
    <cellStyle name="Normal 7 6 3" xfId="252" xr:uid="{5F286A9A-BF71-47B8-A991-76EC39C214A4}"/>
    <cellStyle name="Normal 7 6 4" xfId="256" xr:uid="{5FF074DA-D30C-4B88-88E5-342CB18D6F36}"/>
    <cellStyle name="Normal 7 6 5" xfId="260" xr:uid="{B27875DA-5823-452C-B3F7-4CED9BAA271C}"/>
    <cellStyle name="Normal 7 6 5 2" xfId="264" xr:uid="{31DF5A65-A08B-4CA3-9EB6-7389E6EC8D55}"/>
    <cellStyle name="Normal 7 6 6" xfId="270" xr:uid="{58A59D12-98A2-4397-A93B-14596184230E}"/>
    <cellStyle name="Normal 7 6 6 2" xfId="286" xr:uid="{A28B0CDF-0F89-4456-9367-FE679FDC5315}"/>
    <cellStyle name="Normal 8" xfId="66" xr:uid="{8EC45349-0A7A-4C19-A3AB-6652663F318F}"/>
    <cellStyle name="Normal 8 2" xfId="103" xr:uid="{38038104-E2B3-446F-A0A4-C49794156909}"/>
    <cellStyle name="Normal 8 3" xfId="223" xr:uid="{467D22CD-3890-4DA3-908B-0DB854836615}"/>
    <cellStyle name="Normal 8 4" xfId="102" xr:uid="{A41BC94B-B2FA-402A-9D9E-7B6AC5B75190}"/>
    <cellStyle name="Normal 9" xfId="68" xr:uid="{EFE6254E-728E-4457-932D-608C9F3646DB}"/>
    <cellStyle name="Normal 9 2" xfId="104" xr:uid="{CB4D56FC-AA25-44F8-A6F0-71BCF64A6EBD}"/>
    <cellStyle name="Normal 9 2 2" xfId="147" xr:uid="{39198599-0D5F-4240-853D-F5B563819BF2}"/>
    <cellStyle name="Normal 9 2 2 2" xfId="180" xr:uid="{D6DD9BD9-5434-4F91-A8A5-F09EA3A322D4}"/>
    <cellStyle name="Normal 9 2 3" xfId="172" xr:uid="{34618861-CDEE-4C06-9E11-26E18D53A4A0}"/>
    <cellStyle name="Normal 9 3" xfId="169" xr:uid="{B0DB8489-F291-4A61-9664-5479A07A0C6B}"/>
    <cellStyle name="Normal 9 3 2" xfId="199" xr:uid="{D0503739-8C56-431C-965B-A0FE6D7B74D9}"/>
    <cellStyle name="Normal 9 4" xfId="177" xr:uid="{6BADBA1D-A03F-4682-B12D-762C28D98CE9}"/>
    <cellStyle name="Normal 9 5" xfId="224" xr:uid="{5410A363-4DEE-48A0-8CE7-E9BCC2DC5EB4}"/>
    <cellStyle name="Normal 9 6" xfId="142" xr:uid="{B46CF06D-8686-4BB5-9EE1-AC1D0092AC0A}"/>
    <cellStyle name="Normal 9 7" xfId="269" xr:uid="{BFB6BAA3-A744-4929-8D07-1F8AB11D2E17}"/>
    <cellStyle name="Note" xfId="48" xr:uid="{00000000-0005-0000-0000-00002E000000}"/>
    <cellStyle name="Output" xfId="49" xr:uid="{00000000-0005-0000-0000-00002F000000}"/>
    <cellStyle name="Porcentagem" xfId="237" builtinId="5"/>
    <cellStyle name="Porcentagem 10" xfId="105" xr:uid="{63A8DA22-9935-4EBC-9134-D1EC89DBE514}"/>
    <cellStyle name="Porcentagem 11" xfId="106" xr:uid="{55F75F3C-2C38-4833-9738-A51DEDD1E412}"/>
    <cellStyle name="Porcentagem 12" xfId="107" xr:uid="{ABB83626-8910-46A2-B567-EBDAE10FDA3D}"/>
    <cellStyle name="Porcentagem 12 2" xfId="108" xr:uid="{3AE6E31B-75FE-44E1-884D-49F1E2C7C88A}"/>
    <cellStyle name="Porcentagem 12 3" xfId="109" xr:uid="{11C4EB89-DBF1-4624-9905-E57641BC4A60}"/>
    <cellStyle name="Porcentagem 13" xfId="110" xr:uid="{3053F421-DF23-4E35-BA39-41FC5BC1C9A4}"/>
    <cellStyle name="Porcentagem 13 2" xfId="148" xr:uid="{3CDFDC49-9185-44EB-B25B-4E51EB5E1B8D}"/>
    <cellStyle name="Porcentagem 14" xfId="111" xr:uid="{533C02C3-F3DA-4DF5-8F83-873B59127F70}"/>
    <cellStyle name="Porcentagem 14 2" xfId="149" xr:uid="{3896F547-E9EB-4B5E-A608-970B21155C5C}"/>
    <cellStyle name="Porcentagem 15" xfId="170" xr:uid="{2CE6AE1B-1588-41F2-A146-3F59A644D8D9}"/>
    <cellStyle name="Porcentagem 15 2" xfId="200" xr:uid="{3F24EC83-2C0F-4421-9F51-B94824732314}"/>
    <cellStyle name="Porcentagem 16" xfId="232" xr:uid="{8E9C174C-A5B9-4D79-BAEE-B15FACA41AFD}"/>
    <cellStyle name="Porcentagem 17" xfId="236" xr:uid="{20760C0F-7359-47C3-90ED-BD1099FC98E0}"/>
    <cellStyle name="Porcentagem 18" xfId="241" xr:uid="{5A431E2E-3F96-4FCD-A526-5D173B258900}"/>
    <cellStyle name="Porcentagem 18 2" xfId="246" xr:uid="{5AE11A8C-C6FC-4894-9546-B4386096E477}"/>
    <cellStyle name="Porcentagem 19" xfId="244" xr:uid="{3312B6A5-BE0B-461B-A50B-7D76766CC8A9}"/>
    <cellStyle name="Porcentagem 2" xfId="2" xr:uid="{00000000-0005-0000-0000-000031000000}"/>
    <cellStyle name="Porcentagem 2 2" xfId="50" xr:uid="{00000000-0005-0000-0000-000032000000}"/>
    <cellStyle name="Porcentagem 2 2 2" xfId="112" xr:uid="{B1D70376-53A0-4BF9-B962-28ABC3B3139A}"/>
    <cellStyle name="Porcentagem 2 3" xfId="113" xr:uid="{4EE44A15-B19A-436A-9D18-288477F87FA5}"/>
    <cellStyle name="Porcentagem 20" xfId="254" xr:uid="{B8CAFBB4-6C16-49DA-B71E-F35451C6092E}"/>
    <cellStyle name="Porcentagem 21" xfId="257" xr:uid="{F53612C1-F6E8-43CD-B7F5-9AF6AB165EB6}"/>
    <cellStyle name="Porcentagem 22" xfId="263" xr:uid="{3BF02DC9-528F-43E0-8CDA-1DADF84D63C0}"/>
    <cellStyle name="Porcentagem 23" xfId="267" xr:uid="{2E27F91A-2E7D-4A24-936D-0823AFDB6A13}"/>
    <cellStyle name="Porcentagem 24" xfId="273" xr:uid="{F15D499A-8F95-42C6-AE8E-B09D6B57D403}"/>
    <cellStyle name="Porcentagem 25" xfId="275" xr:uid="{3041240B-1550-43A9-99A7-3A879297F4DD}"/>
    <cellStyle name="Porcentagem 26" xfId="288" xr:uid="{171FF3E3-7F3C-460A-828A-4BAF47D10308}"/>
    <cellStyle name="Porcentagem 27" xfId="293" xr:uid="{A2BEF14A-CDD8-423A-B56A-BFABE455DD9D}"/>
    <cellStyle name="Porcentagem 3" xfId="51" xr:uid="{00000000-0005-0000-0000-000033000000}"/>
    <cellStyle name="Porcentagem 3 2" xfId="115" xr:uid="{2DD83DB7-75AC-45FE-AAB6-F69C222BAAE3}"/>
    <cellStyle name="Porcentagem 3 3" xfId="150" xr:uid="{54E31FA5-3C53-4FDE-BA47-AEFD51719D05}"/>
    <cellStyle name="Porcentagem 3 3 2" xfId="181" xr:uid="{BEB56E89-BC51-421C-AAFB-486D3FC6513E}"/>
    <cellStyle name="Porcentagem 3 4" xfId="173" xr:uid="{510173B9-F9D6-4DA4-8F85-418C8C05753D}"/>
    <cellStyle name="Porcentagem 3 5" xfId="114" xr:uid="{90015479-1F1A-4939-9AB4-D67526940914}"/>
    <cellStyle name="Porcentagem 4" xfId="52" xr:uid="{00000000-0005-0000-0000-000034000000}"/>
    <cellStyle name="Porcentagem 4 2" xfId="116" xr:uid="{D57EDB8C-BCEC-4376-9836-8699DFE2A441}"/>
    <cellStyle name="Porcentagem 5" xfId="62" xr:uid="{9EE02AAF-1DCD-441F-ACB1-6B473F7EDC00}"/>
    <cellStyle name="Porcentagem 5 2" xfId="117" xr:uid="{43E7B3EE-48A7-47F7-BB61-98ECDF5ED66B}"/>
    <cellStyle name="Porcentagem 6" xfId="67" xr:uid="{F6268856-EE8D-48F1-BCC7-B08095569268}"/>
    <cellStyle name="Porcentagem 6 2" xfId="119" xr:uid="{E74565E1-AC87-46DD-B5E9-6C27B80F8DA3}"/>
    <cellStyle name="Porcentagem 6 3" xfId="118" xr:uid="{CD93A6E9-CD7F-461A-9641-433D7CF91A4C}"/>
    <cellStyle name="Porcentagem 7" xfId="69" xr:uid="{EE90EA82-FA64-4E99-9ECD-A3702F3A7E4D}"/>
    <cellStyle name="Porcentagem 7 2" xfId="120" xr:uid="{6AE5F23D-9E0F-43C3-A070-BDD2E0C7E100}"/>
    <cellStyle name="Porcentagem 8" xfId="71" xr:uid="{380192CA-ACC9-46C3-907D-7C465BE398A9}"/>
    <cellStyle name="Porcentagem 8 2" xfId="121" xr:uid="{37CA12D8-727F-4CD6-95F2-F9D1F449AA34}"/>
    <cellStyle name="Porcentagem 9" xfId="73" xr:uid="{AEF86DFF-000A-4D52-8C29-CE299D3104F9}"/>
    <cellStyle name="Porcentagem 9 2" xfId="123" xr:uid="{9CD58A7D-4C6F-4E58-AED9-6DF9915D842C}"/>
    <cellStyle name="Porcentagem 9 3" xfId="122" xr:uid="{E83FC9FC-6B44-41EF-97F2-7DDD42B10BE4}"/>
    <cellStyle name="Porcentagem 9 4" xfId="227" xr:uid="{36D9B13F-700D-4813-A7BB-47258812847B}"/>
    <cellStyle name="SAPBEXchaText_Plan1" xfId="124" xr:uid="{5B088FE2-2C5A-41CA-A944-DCF7E1BAE973}"/>
    <cellStyle name="SAPBEXstdData" xfId="125" xr:uid="{B52D873C-7D97-4F5D-816A-6D707C07D983}"/>
    <cellStyle name="SAPBEXstdItem_Plan1" xfId="126" xr:uid="{10A8B219-806F-4DE5-9EA9-BE2345668DE2}"/>
    <cellStyle name="SAPBEXstdItemX_Plan1" xfId="127" xr:uid="{E89AC91D-385A-43EB-B20C-38E158090E00}"/>
    <cellStyle name="Separador de milhares 2" xfId="3" xr:uid="{00000000-0005-0000-0000-000035000000}"/>
    <cellStyle name="Separador de milhares 2 2" xfId="151" xr:uid="{53DFDF2E-48BC-47E6-89E9-19F28A0757E5}"/>
    <cellStyle name="Separador de milhares 2 2 2" xfId="182" xr:uid="{ABFDAE79-1DD1-4C67-87BD-E23FDACEF306}"/>
    <cellStyle name="Separador de milhares 2 3" xfId="128" xr:uid="{4E69BFA7-1196-43A3-BF3A-5E375F482A15}"/>
    <cellStyle name="Separador de milhares 3" xfId="53" xr:uid="{00000000-0005-0000-0000-000036000000}"/>
    <cellStyle name="Title" xfId="54" xr:uid="{00000000-0005-0000-0000-000037000000}"/>
    <cellStyle name="Vírgula" xfId="59" builtinId="3"/>
    <cellStyle name="Vírgula 10" xfId="129" xr:uid="{6DEB60AC-09A8-43B7-B37C-844B0F5B285A}"/>
    <cellStyle name="Vírgula 10 2" xfId="153" xr:uid="{058E4BA5-DDBE-40EA-B44C-FA9464A38593}"/>
    <cellStyle name="Vírgula 10 2 2" xfId="184" xr:uid="{9F40C8E7-D239-44D0-A9E2-0F3DAA96E250}"/>
    <cellStyle name="Vírgula 11" xfId="152" xr:uid="{759910B1-BD7D-4B88-B6A7-5881395BE7F6}"/>
    <cellStyle name="Vírgula 11 2" xfId="183" xr:uid="{912292A4-874C-48A6-B630-EB2265770E94}"/>
    <cellStyle name="Vírgula 12" xfId="276" xr:uid="{8E02A8FD-63D0-45A7-B748-BA3F6798F194}"/>
    <cellStyle name="Vírgula 13" xfId="292" xr:uid="{FE0D8ACC-362A-47E8-A66A-03F0D4493229}"/>
    <cellStyle name="Vírgula 2" xfId="55" xr:uid="{00000000-0005-0000-0000-000038000000}"/>
    <cellStyle name="Vírgula 2 2" xfId="56" xr:uid="{00000000-0005-0000-0000-000039000000}"/>
    <cellStyle name="Vírgula 2 2 2" xfId="155" xr:uid="{F674BE0A-4B63-4717-8A47-D3A4E5985DA9}"/>
    <cellStyle name="Vírgula 2 2 2 2" xfId="186" xr:uid="{1DC60A90-10B8-405C-87D3-EE1E641C2D21}"/>
    <cellStyle name="Vírgula 2 2 3" xfId="217" xr:uid="{86440167-783F-456E-82AA-0E218F0E5688}"/>
    <cellStyle name="Vírgula 2 2 4" xfId="130" xr:uid="{02E19906-DE8A-49B9-B5AD-A08645D41847}"/>
    <cellStyle name="Vírgula 2 2 5" xfId="283" xr:uid="{807AC4CA-7F7E-446D-A723-10886947FB5E}"/>
    <cellStyle name="Vírgula 2 3" xfId="154" xr:uid="{C5916943-66CB-4AC4-9A4D-67BD92504A38}"/>
    <cellStyle name="Vírgula 2 3 2" xfId="185" xr:uid="{D9182835-6624-4B90-BDBA-9289D7F75F16}"/>
    <cellStyle name="Vírgula 2 4" xfId="209" xr:uid="{A56DD537-0646-45EC-81F7-40F47B505490}"/>
    <cellStyle name="Vírgula 2 5" xfId="278" xr:uid="{A9FFEB8B-8ADE-47D2-972A-F00CAA06708A}"/>
    <cellStyle name="Vírgula 3" xfId="57" xr:uid="{00000000-0005-0000-0000-00003A000000}"/>
    <cellStyle name="Vírgula 3 2" xfId="131" xr:uid="{802464CE-DCE9-4311-B976-9B746841DA92}"/>
    <cellStyle name="Vírgula 3 2 2" xfId="157" xr:uid="{9F19116D-E598-4854-8FCD-F864F844B99E}"/>
    <cellStyle name="Vírgula 3 2 2 2" xfId="188" xr:uid="{0C2D4B58-A533-4C0A-BCC1-0C3E0CC68487}"/>
    <cellStyle name="Vírgula 3 2 3" xfId="174" xr:uid="{EBEC961E-EBD2-40A0-B3AA-3F6BAF054DB7}"/>
    <cellStyle name="Vírgula 3 3" xfId="156" xr:uid="{D171FF0F-BC93-48EC-AA64-860E9A29261B}"/>
    <cellStyle name="Vírgula 3 3 2" xfId="187" xr:uid="{8D23ED11-5A40-4577-A0E2-DC88FF90EED0}"/>
    <cellStyle name="Vírgula 3 4" xfId="220" xr:uid="{97EECC1A-B6C7-415D-9B52-C77410C75868}"/>
    <cellStyle name="Vírgula 3 5" xfId="281" xr:uid="{7F618DB6-3FDD-47DF-AA90-94448A4C5970}"/>
    <cellStyle name="Vírgula 4" xfId="61" xr:uid="{74F90CA4-085B-483F-AE81-70F364EDF678}"/>
    <cellStyle name="Vírgula 4 2" xfId="133" xr:uid="{F17AED76-FAAC-484C-87C5-84CFC8BAB931}"/>
    <cellStyle name="Vírgula 4 2 2" xfId="159" xr:uid="{F1FBE8F9-08AA-43C7-A0B1-D45E33A1A9F2}"/>
    <cellStyle name="Vírgula 4 2 2 2" xfId="190" xr:uid="{1D4E1126-9EF0-4E88-8327-841CB883450F}"/>
    <cellStyle name="Vírgula 4 3" xfId="158" xr:uid="{D64E6E64-343E-4350-83FA-44877EC1DD7D}"/>
    <cellStyle name="Vírgula 4 3 2" xfId="189" xr:uid="{9DF7A53B-70E3-463F-B9AC-51360DA979E7}"/>
    <cellStyle name="Vírgula 4 4" xfId="175" xr:uid="{BD4B9126-1AD6-4768-8921-D81475A4826B}"/>
    <cellStyle name="Vírgula 4 5" xfId="132" xr:uid="{D73DF27D-D5E6-4564-B9DC-4865CCD3E86A}"/>
    <cellStyle name="Vírgula 5" xfId="65" xr:uid="{0C8798BF-B70A-4A5E-B070-7C4BA2388ACF}"/>
    <cellStyle name="Vírgula 5 2" xfId="135" xr:uid="{113EC37A-00E4-4444-8E6B-7482F7BA53D5}"/>
    <cellStyle name="Vírgula 5 2 2" xfId="161" xr:uid="{310D5F5D-A460-4181-A93D-F99904937A31}"/>
    <cellStyle name="Vírgula 5 2 2 2" xfId="192" xr:uid="{3B1B7934-C45A-4CE3-991C-F2B21A09924D}"/>
    <cellStyle name="Vírgula 5 2 3" xfId="176" xr:uid="{3BB0450B-301C-42CF-BDAD-77A724C5EA19}"/>
    <cellStyle name="Vírgula 5 3" xfId="160" xr:uid="{9EFA17DF-32F8-4139-9233-0CB9E0481B32}"/>
    <cellStyle name="Vírgula 5 3 2" xfId="191" xr:uid="{ECF567FC-F7D2-4B7D-A35F-0401A6371061}"/>
    <cellStyle name="Vírgula 5 4" xfId="134" xr:uid="{94EC4EE8-E6E4-4025-8BD7-DE0648A6DA9E}"/>
    <cellStyle name="Vírgula 5 5" xfId="231" xr:uid="{735F4CDD-4ED4-4A74-93A3-8147F002DAB4}"/>
    <cellStyle name="Vírgula 5 6" xfId="239" xr:uid="{0AA8DF8A-CE73-41B7-868D-D44F55249C4D}"/>
    <cellStyle name="Vírgula 5 7" xfId="249" xr:uid="{F4BC9C0F-A1F4-4DB7-8005-293BB3F72ADE}"/>
    <cellStyle name="Vírgula 5 7 2" xfId="251" xr:uid="{0B5AC890-0B8B-452D-920E-94C772E80675}"/>
    <cellStyle name="Vírgula 5 7 3" xfId="253" xr:uid="{B5EE917F-CD32-4802-A84A-4D745ACE0462}"/>
    <cellStyle name="Vírgula 5 7 4" xfId="259" xr:uid="{77E30A14-EC5B-475F-9664-F22DA2263C27}"/>
    <cellStyle name="Vírgula 5 7 5" xfId="261" xr:uid="{180D5ACF-FD54-4AC7-ADB3-5A122EE0403F}"/>
    <cellStyle name="Vírgula 5 7 5 2" xfId="265" xr:uid="{2A0E9F32-B868-4A94-A2D7-40FDA54D1AEC}"/>
    <cellStyle name="Vírgula 5 7 6" xfId="271" xr:uid="{CFDA94E9-3A07-4B1E-8B87-C86259A4AA93}"/>
    <cellStyle name="Vírgula 5 7 6 2" xfId="287" xr:uid="{32A70A3D-5368-4C0B-85C3-7AA54A47B262}"/>
    <cellStyle name="Vírgula 6" xfId="136" xr:uid="{B0649FE6-4157-4C34-9028-5ED082A6A66E}"/>
    <cellStyle name="Vírgula 6 2" xfId="162" xr:uid="{40B7E00B-8AB1-4F7C-9AB6-58DE90D07695}"/>
    <cellStyle name="Vírgula 6 2 2" xfId="193" xr:uid="{92ADFA32-3A85-492B-9310-42C43BE88D6E}"/>
    <cellStyle name="Vírgula 7" xfId="137" xr:uid="{7642C413-5F4A-4F1E-85A9-0785EE17E5E4}"/>
    <cellStyle name="Vírgula 7 2" xfId="163" xr:uid="{DF8A4D92-671E-4EBE-9EC4-9D3A70F191A4}"/>
    <cellStyle name="Vírgula 7 2 2" xfId="194" xr:uid="{9B0EE49B-A474-4CCC-8DD7-2544B2347867}"/>
    <cellStyle name="Vírgula 8" xfId="138" xr:uid="{BF05C220-0A15-4DB2-B4C4-3AB7343DEFD5}"/>
    <cellStyle name="Vírgula 8 2" xfId="139" xr:uid="{30BB6B38-3EAD-4671-9053-4DBDFDAC3EC4}"/>
    <cellStyle name="Vírgula 8 2 2" xfId="165" xr:uid="{9C314881-82E9-4588-8E10-71EA9A27E0DC}"/>
    <cellStyle name="Vírgula 8 2 2 2" xfId="196" xr:uid="{42B846D0-4FB6-4032-95EC-1769DFE10F75}"/>
    <cellStyle name="Vírgula 8 3" xfId="140" xr:uid="{77BBBDC3-DAD6-423D-AC4B-BFA686850B8A}"/>
    <cellStyle name="Vírgula 8 3 2" xfId="166" xr:uid="{708C992B-317B-48C9-9828-F93883F1F48A}"/>
    <cellStyle name="Vírgula 8 3 2 2" xfId="197" xr:uid="{136B9299-90A2-40ED-B7C0-02D2D8E04105}"/>
    <cellStyle name="Vírgula 8 4" xfId="164" xr:uid="{1EB90E17-2E6F-417E-8144-0E74F4237D32}"/>
    <cellStyle name="Vírgula 8 4 2" xfId="195" xr:uid="{0CA0EF32-317A-40A8-A9D1-6EBA663464B1}"/>
    <cellStyle name="Vírgula 9" xfId="141" xr:uid="{98CEF0E6-EAF1-4B25-B2A8-136C6758A6E0}"/>
    <cellStyle name="Vírgula 9 2" xfId="167" xr:uid="{7BA993C8-21D5-4BE3-ADDF-209D747DB283}"/>
    <cellStyle name="Vírgula 9 2 2" xfId="198" xr:uid="{E84D23C5-98EF-44DA-81A1-27A5DFEF131B}"/>
    <cellStyle name="Warning Text" xfId="58" xr:uid="{00000000-0005-0000-0000-00003B000000}"/>
  </cellStyles>
  <dxfs count="1204">
    <dxf>
      <numFmt numFmtId="35" formatCode="_-* #,##0.00_-;\-* #,##0.0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numFmt numFmtId="35" formatCode="_-* #,##0.00_-;\-* #,##0.00_-;_-* &quot;-&quot;??_-;_-@_-"/>
    </dxf>
    <dxf>
      <numFmt numFmtId="35" formatCode="_-* #,##0.00_-;\-* #,##0.0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numFmt numFmtId="35" formatCode="_-* #,##0.00_-;\-* #,##0.00_-;_-* &quot;-&quot;??_-;_-@_-"/>
    </dxf>
    <dxf>
      <numFmt numFmtId="35" formatCode="_-* #,##0.00_-;\-* #,##0.0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numFmt numFmtId="35" formatCode="_-* #,##0.00_-;\-* #,##0.00_-;_-* &quot;-&quot;??_-;_-@_-"/>
    </dxf>
    <dxf>
      <numFmt numFmtId="35" formatCode="_-* #,##0.00_-;\-* #,##0.00_-;_-* &quot;-&quot;??_-;_-@_-"/>
    </dxf>
    <dxf>
      <numFmt numFmtId="35" formatCode="_-* #,##0.00_-;\-* #,##0.0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0070C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0070C0"/>
      </font>
    </dxf>
    <dxf>
      <font>
        <color rgb="FFC00000"/>
      </font>
    </dxf>
    <dxf>
      <font>
        <color rgb="FFC00000"/>
      </font>
    </dxf>
    <dxf>
      <font>
        <color rgb="FF0070C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0070C0"/>
      </font>
    </dxf>
    <dxf>
      <font>
        <color rgb="FFC00000"/>
      </font>
    </dxf>
    <dxf>
      <font>
        <color rgb="FFC00000"/>
      </font>
    </dxf>
    <dxf>
      <font>
        <color rgb="FF0070C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0070C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0070C0"/>
      </font>
    </dxf>
    <dxf>
      <font>
        <color rgb="FFC00000"/>
      </font>
    </dxf>
    <dxf>
      <font>
        <color rgb="FFC00000"/>
      </font>
    </dxf>
    <dxf>
      <font>
        <color rgb="FF0070C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0070C0"/>
      </font>
    </dxf>
    <dxf>
      <font>
        <color rgb="FFC00000"/>
      </font>
    </dxf>
    <dxf>
      <font>
        <color rgb="FFC00000"/>
      </font>
    </dxf>
    <dxf>
      <font>
        <color rgb="FF0070C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0070C0"/>
      </font>
    </dxf>
    <dxf>
      <font>
        <color rgb="FFC00000"/>
      </font>
    </dxf>
    <dxf>
      <font>
        <color rgb="FFC00000"/>
      </font>
    </dxf>
    <dxf>
      <font>
        <color rgb="FF0070C0"/>
      </font>
    </dxf>
    <dxf>
      <font>
        <color rgb="FFC00000"/>
      </font>
    </dxf>
    <dxf>
      <font>
        <color rgb="FF0070C0"/>
      </font>
    </dxf>
    <dxf>
      <font>
        <color rgb="FFC00000"/>
      </font>
    </dxf>
    <dxf>
      <font>
        <color rgb="FF0070C0"/>
      </font>
    </dxf>
    <dxf>
      <font>
        <color rgb="FF0070C0"/>
      </font>
    </dxf>
    <dxf>
      <font>
        <color rgb="FFC00000"/>
      </font>
    </dxf>
    <dxf>
      <font>
        <color rgb="FFC00000"/>
      </font>
    </dxf>
    <dxf>
      <font>
        <color rgb="FF0070C0"/>
      </font>
    </dxf>
    <dxf>
      <font>
        <color rgb="FFC00000"/>
      </font>
    </dxf>
    <dxf>
      <font>
        <b/>
        <i val="0"/>
        <color theme="6" tint="-0.499984740745262"/>
      </font>
    </dxf>
    <dxf>
      <font>
        <b/>
        <i val="0"/>
        <color rgb="FFFF0000"/>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rgb="FFFFA7A7"/>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Arial"/>
        <family val="2"/>
        <scheme val="none"/>
      </font>
      <fill>
        <patternFill patternType="solid">
          <fgColor indexed="64"/>
          <bgColor rgb="FFFFA7A7"/>
        </patternFill>
      </fill>
      <alignment horizontal="center" vertical="center" textRotation="0" wrapText="0" indent="0" justifyLastLine="0" shrinkToFit="0" readingOrder="0"/>
      <border diagonalUp="0" diagonalDown="0" outline="0">
        <left/>
        <right/>
        <top style="thin">
          <color theme="0"/>
        </top>
        <bottom style="thin">
          <color theme="0"/>
        </bottom>
      </border>
    </dxf>
    <dxf>
      <font>
        <b val="0"/>
        <i val="0"/>
        <strike val="0"/>
        <condense val="0"/>
        <extend val="0"/>
        <outline val="0"/>
        <shadow val="0"/>
        <u val="none"/>
        <vertAlign val="baseline"/>
        <sz val="11"/>
        <color auto="1"/>
        <name val="Calibri"/>
        <family val="2"/>
        <scheme val="minor"/>
      </font>
      <fill>
        <patternFill patternType="solid">
          <fgColor indexed="64"/>
          <bgColor rgb="FFFFA7A7"/>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A7A7"/>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A7A7"/>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A7A7"/>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A7A7"/>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A7A7"/>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rgb="FFFFA7A7"/>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0"/>
        <name val="Calibri"/>
        <family val="2"/>
        <scheme val="minor"/>
      </font>
      <fill>
        <patternFill patternType="solid">
          <fgColor indexed="64"/>
          <bgColor theme="5"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Arial"/>
        <family val="2"/>
        <scheme val="none"/>
      </font>
      <fill>
        <patternFill patternType="solid">
          <fgColor indexed="64"/>
          <bgColor rgb="FFFFA7A7"/>
        </patternFill>
      </fill>
      <alignment horizontal="center" vertical="center" textRotation="0" wrapText="0" indent="0" justifyLastLine="0" shrinkToFit="0" readingOrder="0"/>
      <border diagonalUp="0" diagonalDown="0" outline="0">
        <left/>
        <right/>
        <top style="thin">
          <color theme="0"/>
        </top>
        <bottom style="thin">
          <color theme="0"/>
        </bottom>
      </border>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auto="1"/>
        <name val="Calibri"/>
        <family val="2"/>
        <scheme val="minor"/>
      </font>
      <numFmt numFmtId="13" formatCode="0%"/>
      <fill>
        <patternFill patternType="solid">
          <fgColor indexed="64"/>
          <bgColor rgb="FFFFA7A7"/>
        </patternFill>
      </fill>
      <alignment horizontal="center" vertical="center" textRotation="0" wrapText="0" indent="0" justifyLastLine="0" shrinkToFit="0" readingOrder="0"/>
      <border diagonalUp="0" diagonalDown="0">
        <left/>
        <right/>
        <top style="thin">
          <color theme="0"/>
        </top>
        <bottom style="thin">
          <color theme="0"/>
        </bottom>
        <vertical/>
        <horizontal/>
      </border>
    </dxf>
    <dxf>
      <font>
        <b val="0"/>
        <i val="0"/>
        <strike val="0"/>
        <condense val="0"/>
        <extend val="0"/>
        <outline val="0"/>
        <shadow val="0"/>
        <u val="none"/>
        <vertAlign val="baseline"/>
        <sz val="11"/>
        <color auto="1"/>
        <name val="Calibri"/>
        <family val="2"/>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Arial"/>
        <family val="2"/>
        <scheme val="none"/>
      </font>
      <numFmt numFmtId="13" formatCode="0%"/>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numFmt numFmtId="13" formatCode="0%"/>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numFmt numFmtId="13" formatCode="0%"/>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numFmt numFmtId="13" formatCode="0%"/>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numFmt numFmtId="13" formatCode="0%"/>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fill>
        <patternFill patternType="solid">
          <fgColor indexed="64"/>
          <bgColor rgb="FFFFA7A7"/>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rial"/>
        <family val="2"/>
        <scheme val="none"/>
      </font>
      <fill>
        <patternFill patternType="solid">
          <fgColor indexed="64"/>
          <bgColor rgb="FFFFA7A7"/>
        </patternFill>
      </fill>
      <alignment horizontal="center" vertical="center" textRotation="0" wrapText="0" indent="0" justifyLastLine="0" shrinkToFit="0" readingOrder="0"/>
      <border diagonalUp="0" diagonalDown="0" outline="0">
        <left/>
        <right/>
        <top style="thin">
          <color theme="0"/>
        </top>
        <bottom style="thin">
          <color theme="0"/>
        </bottom>
      </border>
    </dxf>
    <dxf>
      <font>
        <strike val="0"/>
        <outline val="0"/>
        <shadow val="0"/>
        <u val="none"/>
        <vertAlign val="baseline"/>
        <sz val="10"/>
        <color auto="1"/>
        <name val="Calibri"/>
        <family val="2"/>
        <scheme val="minor"/>
      </font>
      <numFmt numFmtId="0" formatCode="General"/>
      <fill>
        <patternFill patternType="solid">
          <fgColor indexed="64"/>
          <bgColor rgb="FFFFA7A7"/>
        </patternFill>
      </fill>
      <alignment horizontal="center" vertical="bottom" textRotation="0" wrapText="0" indent="0" justifyLastLine="0" shrinkToFit="0" readingOrder="0"/>
    </dxf>
    <dxf>
      <font>
        <sz val="11"/>
        <name val="Calibri"/>
        <family val="2"/>
        <scheme val="minor"/>
      </font>
      <numFmt numFmtId="34" formatCode="_-&quot;R$&quot;\ * #,##0.00_-;\-&quot;R$&quot;\ * #,##0.00_-;_-&quot;R$&quot;\ * &quot;-&quot;??_-;_-@_-"/>
      <fill>
        <patternFill patternType="solid">
          <fgColor indexed="64"/>
          <bgColor rgb="FFFFA7A7"/>
        </patternFill>
      </fill>
    </dxf>
    <dxf>
      <font>
        <sz val="11"/>
        <name val="Calibri"/>
        <family val="2"/>
        <scheme val="minor"/>
      </font>
      <numFmt numFmtId="0" formatCode="General"/>
      <fill>
        <patternFill patternType="solid">
          <fgColor indexed="64"/>
          <bgColor rgb="FFFFA7A7"/>
        </patternFill>
      </fill>
    </dxf>
    <dxf>
      <font>
        <sz val="11"/>
        <name val="Calibri"/>
        <family val="2"/>
        <scheme val="minor"/>
      </font>
      <numFmt numFmtId="0" formatCode="General"/>
      <fill>
        <patternFill patternType="solid">
          <fgColor indexed="64"/>
          <bgColor rgb="FFFFA7A7"/>
        </patternFill>
      </fill>
    </dxf>
    <dxf>
      <font>
        <sz val="11"/>
        <name val="Calibri"/>
        <family val="2"/>
        <scheme val="minor"/>
      </font>
      <fill>
        <patternFill patternType="solid">
          <fgColor indexed="64"/>
          <bgColor rgb="FFFFA7A7"/>
        </patternFill>
      </fill>
    </dxf>
    <dxf>
      <font>
        <b val="0"/>
        <i val="0"/>
        <strike val="0"/>
        <condense val="0"/>
        <extend val="0"/>
        <outline val="0"/>
        <shadow val="0"/>
        <u val="none"/>
        <vertAlign val="baseline"/>
        <sz val="11"/>
        <color auto="1"/>
        <name val="Calibri"/>
        <family val="2"/>
        <scheme val="minor"/>
      </font>
      <fill>
        <patternFill patternType="solid">
          <fgColor indexed="64"/>
          <bgColor rgb="FFFFA7A7"/>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numFmt numFmtId="35" formatCode="_-* #,##0.00_-;\-* #,##0.00_-;_-* &quot;-&quot;??_-;_-@_-"/>
      <alignment horizontal="center" vertical="center" textRotation="0" wrapText="0" indent="0" justifyLastLine="0" shrinkToFit="0" readingOrder="0"/>
    </dxf>
    <dxf>
      <font>
        <b/>
      </font>
      <alignment horizontal="center" vertical="center" textRotation="0" wrapText="0" indent="0" justifyLastLine="0" shrinkToFit="0" readingOrder="0"/>
    </dxf>
    <dxf>
      <font>
        <b/>
      </font>
      <alignment horizontal="center" vertical="center" textRotation="0" wrapText="0" indent="0" justifyLastLine="0" shrinkToFit="0" readingOrder="0"/>
      <border outline="0">
        <left style="medium">
          <color auto="1"/>
        </left>
      </border>
    </dxf>
    <dxf>
      <font>
        <b/>
      </font>
      <alignment horizontal="general" vertical="center" textRotation="0" wrapText="0" indent="0" justifyLastLine="0" shrinkToFit="0" readingOrder="0"/>
      <border outline="0">
        <right style="medium">
          <color auto="1"/>
        </right>
      </border>
    </dxf>
    <dxf>
      <font>
        <b/>
      </font>
      <alignment horizontal="general" vertical="center" textRotation="0" wrapText="0" indent="0" justifyLastLine="0" shrinkToFit="0" readingOrder="0"/>
    </dxf>
    <dxf>
      <font>
        <b/>
      </font>
      <alignment horizontal="general" vertical="center" textRotation="0" wrapText="0" indent="0" justifyLastLine="0" shrinkToFit="0" readingOrder="0"/>
    </dxf>
    <dxf>
      <font>
        <b/>
        <strike val="0"/>
        <outline val="0"/>
        <shadow val="0"/>
        <u val="none"/>
        <vertAlign val="baseline"/>
        <sz val="11"/>
        <color theme="0"/>
        <name val="Calibri"/>
        <family val="2"/>
        <scheme val="minor"/>
      </font>
      <alignment horizontal="general" vertical="center" textRotation="0" wrapText="0" indent="0" justifyLastLine="0" shrinkToFit="0" readingOrder="0"/>
    </dxf>
    <dxf>
      <fill>
        <patternFill patternType="none">
          <bgColor auto="1"/>
        </patternFill>
      </fill>
    </dxf>
  </dxfs>
  <tableStyles count="3" defaultTableStyle="TableStyleMedium9" defaultPivotStyle="PivotStyleLight16">
    <tableStyle name="Estilo de Segmentação de Dados 1" pivot="0" table="0" count="1" xr9:uid="{37ADF75D-E3F5-4DAB-A62A-F2EBB143925E}">
      <tableStyleElement type="wholeTable" dxfId="1203"/>
    </tableStyle>
    <tableStyle name="Estilo de Segmentação de Dados 1 2" pivot="0" table="0" count="2" xr9:uid="{C375CBB7-0A3F-4424-9994-69047489B1B5}"/>
    <tableStyle name="Estilo de Segmentação de Dados 1 3" pivot="0" table="0" count="2" xr9:uid="{381AAC89-477A-4705-A378-AC3FA5EF5B9F}"/>
  </tableStyles>
  <colors>
    <mruColors>
      <color rgb="FF00E668"/>
      <color rgb="FFC1FFDD"/>
      <color rgb="FF75FFB3"/>
      <color rgb="FFFFD961"/>
      <color rgb="FFFFF7E1"/>
      <color rgb="FFFF33CC"/>
      <color rgb="FFFFFF66"/>
    </mruColors>
  </colors>
  <extLst>
    <ext xmlns:x14="http://schemas.microsoft.com/office/spreadsheetml/2009/9/main" uri="{46F421CA-312F-682f-3DD2-61675219B42D}">
      <x14:dxfs count="4">
        <dxf>
          <font>
            <color theme="0"/>
          </font>
          <fill>
            <gradientFill degree="90">
              <stop position="0">
                <color rgb="FF1F497D"/>
              </stop>
              <stop position="1">
                <color rgb="FF1F497D"/>
              </stop>
            </gradientFill>
          </fill>
        </dxf>
        <dxf>
          <font>
            <color theme="0"/>
          </font>
          <fill>
            <gradientFill degree="90">
              <stop position="0">
                <color rgb="FF1F497D"/>
              </stop>
              <stop position="1">
                <color rgb="FF1F497D"/>
              </stop>
            </gradientFill>
          </fill>
        </dxf>
        <dxf>
          <font>
            <color theme="0"/>
          </font>
          <fill>
            <gradientFill degree="90">
              <stop position="0">
                <color rgb="FF1F497D"/>
              </stop>
              <stop position="1">
                <color rgb="FF1F497D"/>
              </stop>
            </gradientFill>
          </fill>
        </dxf>
        <dxf>
          <font>
            <color theme="0"/>
          </font>
          <fill>
            <gradientFill degree="90">
              <stop position="0">
                <color rgb="FF1F497D"/>
              </stop>
              <stop position="1">
                <color rgb="FF1F497D"/>
              </stop>
            </gradientFill>
          </fill>
        </dxf>
      </x14:dxfs>
    </ext>
    <ext xmlns:x14="http://schemas.microsoft.com/office/spreadsheetml/2009/9/main" uri="{EB79DEF2-80B8-43e5-95BD-54CBDDF9020C}">
      <x14:slicerStyles defaultSlicerStyle="SlicerStyleLight1">
        <x14:slicerStyle name="Estilo de Segmentação de Dados 1 2">
          <x14:slicerStyleElements>
            <x14:slicerStyleElement type="selectedItemWithData" dxfId="3"/>
            <x14:slicerStyleElement type="selectedItemWithNoData" dxfId="2"/>
          </x14:slicerStyleElements>
        </x14:slicerStyle>
        <x14:slicerStyle name="Estilo de Segmentação de Dados 1 3">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externalLink" Target="externalLinks/externalLink6.xml"/><Relationship Id="rId18" Type="http://schemas.openxmlformats.org/officeDocument/2006/relationships/pivotCacheDefinition" Target="pivotCache/pivotCacheDefinition1.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microsoft.com/office/2007/relationships/slicerCache" Target="slicerCaches/slicerCache2.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externalLink" Target="externalLinks/externalLink3.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22/10/relationships/richValueRel" Target="richData/richValueRel.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[CGO-ES.MG-03.03.2026.xlsm]TAB-DIN!Tabela dinâmica5</c:name>
    <c:fmtId val="2"/>
  </c:pivotSource>
  <c:chart>
    <c:title>
      <c:tx>
        <c:rich>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r>
              <a:rPr lang="pt-BR" sz="1600" b="1">
                <a:solidFill>
                  <a:sysClr val="windowText" lastClr="000000"/>
                </a:solidFill>
              </a:rPr>
              <a:t>ANÁLISE DE CUSTO | RECEITA</a:t>
            </a:r>
          </a:p>
        </c:rich>
      </c:tx>
      <c:layout>
        <c:manualLayout>
          <c:xMode val="edge"/>
          <c:yMode val="edge"/>
          <c:x val="0.39732811885184044"/>
          <c:y val="8.3929430548726654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10036471166583"/>
          <c:y val="7.8848256474209802E-2"/>
          <c:w val="0.87751855182355221"/>
          <c:h val="0.45032614130046611"/>
        </c:manualLayout>
      </c:layout>
      <c:barChart>
        <c:barDir val="col"/>
        <c:grouping val="clustered"/>
        <c:varyColors val="0"/>
        <c:ser>
          <c:idx val="0"/>
          <c:order val="0"/>
          <c:tx>
            <c:strRef>
              <c:f>'TAB-DIN'!$B$3:$B$4</c:f>
              <c:strCache>
                <c:ptCount val="1"/>
                <c:pt idx="0">
                  <c:v>RECEITA - PREVISÃO</c:v>
                </c:pt>
              </c:strCache>
            </c:strRef>
          </c:tx>
          <c:spPr>
            <a:solidFill>
              <a:schemeClr val="accent1"/>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'TAB-DIN'!$B$5:$B$13</c:f>
              <c:numCache>
                <c:formatCode>_(* #,##0.00_);_(* \(#,##0.00\);_(* "-"??_);_(@_)</c:formatCode>
                <c:ptCount val="9"/>
                <c:pt idx="0">
                  <c:v>2682441.8640861488</c:v>
                </c:pt>
                <c:pt idx="1">
                  <c:v>3504830.0950684338</c:v>
                </c:pt>
                <c:pt idx="2">
                  <c:v>5536322.335068264</c:v>
                </c:pt>
                <c:pt idx="3">
                  <c:v>3379739.772766693</c:v>
                </c:pt>
                <c:pt idx="4">
                  <c:v>3563364.7476572138</c:v>
                </c:pt>
                <c:pt idx="5">
                  <c:v>2683040.9223662</c:v>
                </c:pt>
                <c:pt idx="6">
                  <c:v>3079978.0868043997</c:v>
                </c:pt>
                <c:pt idx="7">
                  <c:v>2477000.9923422001</c:v>
                </c:pt>
                <c:pt idx="8">
                  <c:v>2406191.2191845998</c:v>
                </c:pt>
              </c:numCache>
            </c:numRef>
          </c:val>
          <c:extLst>
            <c:ext xmlns:c16="http://schemas.microsoft.com/office/drawing/2014/chart" uri="{C3380CC4-5D6E-409C-BE32-E72D297353CC}">
              <c16:uniqueId val="{00000000-3DE4-411A-8365-039CE627C9FF}"/>
            </c:ext>
          </c:extLst>
        </c:ser>
        <c:ser>
          <c:idx val="1"/>
          <c:order val="1"/>
          <c:tx>
            <c:strRef>
              <c:f>'TAB-DIN'!$C$3:$C$4</c:f>
              <c:strCache>
                <c:ptCount val="1"/>
                <c:pt idx="0">
                  <c:v>RECEITA - BRUTA TOTAL</c:v>
                </c:pt>
              </c:strCache>
            </c:strRef>
          </c:tx>
          <c:spPr>
            <a:solidFill>
              <a:schemeClr val="accent2"/>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'TAB-DIN'!$C$5:$C$13</c:f>
              <c:numCache>
                <c:formatCode>_(* #,##0.00_);_(* \(#,##0.00\);_(* "-"??_);_(@_)</c:formatCode>
                <c:ptCount val="9"/>
                <c:pt idx="0">
                  <c:v>2682398.1800000002</c:v>
                </c:pt>
                <c:pt idx="1">
                  <c:v>3504771.3</c:v>
                </c:pt>
                <c:pt idx="2">
                  <c:v>4819988.1303637233</c:v>
                </c:pt>
                <c:pt idx="3">
                  <c:v>3858000.8059420362</c:v>
                </c:pt>
                <c:pt idx="4">
                  <c:v>3172783.1449003131</c:v>
                </c:pt>
                <c:pt idx="5">
                  <c:v>2208432.1647103997</c:v>
                </c:pt>
                <c:pt idx="6">
                  <c:v>3365394.4477781998</c:v>
                </c:pt>
                <c:pt idx="7">
                  <c:v>2301390.7259525997</c:v>
                </c:pt>
                <c:pt idx="8">
                  <c:v>2116461.8482776</c:v>
                </c:pt>
              </c:numCache>
            </c:numRef>
          </c:val>
          <c:extLst>
            <c:ext xmlns:c16="http://schemas.microsoft.com/office/drawing/2014/chart" uri="{C3380CC4-5D6E-409C-BE32-E72D297353CC}">
              <c16:uniqueId val="{00000003-AFCF-45E9-8570-059EE07ED433}"/>
            </c:ext>
          </c:extLst>
        </c:ser>
        <c:ser>
          <c:idx val="2"/>
          <c:order val="2"/>
          <c:tx>
            <c:strRef>
              <c:f>'TAB-DIN'!$D$3:$D$4</c:f>
              <c:strCache>
                <c:ptCount val="1"/>
                <c:pt idx="0">
                  <c:v>RECEITA - LÍQUIDA</c:v>
                </c:pt>
              </c:strCache>
            </c:strRef>
          </c:tx>
          <c:spPr>
            <a:solidFill>
              <a:schemeClr val="accent3"/>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'TAB-DIN'!$D$5:$D$13</c:f>
              <c:numCache>
                <c:formatCode>_(* #,##0.00_);_(* \(#,##0.00\);_(* "-"??_);_(@_)</c:formatCode>
                <c:ptCount val="9"/>
                <c:pt idx="0">
                  <c:v>1896991.9928960002</c:v>
                </c:pt>
                <c:pt idx="1">
                  <c:v>2478574.2633599997</c:v>
                </c:pt>
                <c:pt idx="2">
                  <c:v>3408695.6057932251</c:v>
                </c:pt>
                <c:pt idx="3">
                  <c:v>2728378.1699622078</c:v>
                </c:pt>
                <c:pt idx="4">
                  <c:v>2243792.2400735011</c:v>
                </c:pt>
                <c:pt idx="5">
                  <c:v>1561803.2268831949</c:v>
                </c:pt>
                <c:pt idx="6">
                  <c:v>2380006.9534687428</c:v>
                </c:pt>
                <c:pt idx="7">
                  <c:v>1627543.5213936784</c:v>
                </c:pt>
                <c:pt idx="8">
                  <c:v>1496761.8191019187</c:v>
                </c:pt>
              </c:numCache>
            </c:numRef>
          </c:val>
          <c:extLst>
            <c:ext xmlns:c16="http://schemas.microsoft.com/office/drawing/2014/chart" uri="{C3380CC4-5D6E-409C-BE32-E72D297353CC}">
              <c16:uniqueId val="{00000002-9E32-4BE9-940B-FDC49ED0A34F}"/>
            </c:ext>
          </c:extLst>
        </c:ser>
        <c:ser>
          <c:idx val="3"/>
          <c:order val="3"/>
          <c:tx>
            <c:strRef>
              <c:f>'TAB-DIN'!$E$3:$E$4</c:f>
              <c:strCache>
                <c:ptCount val="1"/>
                <c:pt idx="0">
                  <c:v>CUSTOS - TOTAIS</c:v>
                </c:pt>
              </c:strCache>
            </c:strRef>
          </c:tx>
          <c:spPr>
            <a:solidFill>
              <a:schemeClr val="accent4"/>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'TAB-DIN'!$E$5:$E$13</c:f>
              <c:numCache>
                <c:formatCode>_(* #,##0.00_);_(* \(#,##0.00\);_(* "-"??_);_(@_)</c:formatCode>
                <c:ptCount val="9"/>
                <c:pt idx="0">
                  <c:v>309406.46749999997</c:v>
                </c:pt>
                <c:pt idx="1">
                  <c:v>336036.37700000004</c:v>
                </c:pt>
                <c:pt idx="2">
                  <c:v>2260758.4300000002</c:v>
                </c:pt>
                <c:pt idx="3">
                  <c:v>2363397.0499999998</c:v>
                </c:pt>
                <c:pt idx="4">
                  <c:v>2116954</c:v>
                </c:pt>
                <c:pt idx="5">
                  <c:v>1863133.9100000001</c:v>
                </c:pt>
                <c:pt idx="6">
                  <c:v>1908440.83</c:v>
                </c:pt>
                <c:pt idx="7">
                  <c:v>1364688.7910000002</c:v>
                </c:pt>
                <c:pt idx="8">
                  <c:v>2624547.0444999998</c:v>
                </c:pt>
              </c:numCache>
            </c:numRef>
          </c:val>
          <c:extLst>
            <c:ext xmlns:c16="http://schemas.microsoft.com/office/drawing/2014/chart" uri="{C3380CC4-5D6E-409C-BE32-E72D297353CC}">
              <c16:uniqueId val="{00000003-9E32-4BE9-940B-FDC49ED0A34F}"/>
            </c:ext>
          </c:extLst>
        </c:ser>
        <c:ser>
          <c:idx val="4"/>
          <c:order val="4"/>
          <c:tx>
            <c:strRef>
              <c:f>'TAB-DIN'!$F$3:$F$4</c:f>
              <c:strCache>
                <c:ptCount val="1"/>
                <c:pt idx="0">
                  <c:v>CUSTOS - EQUIPE E CANTEIRO</c:v>
                </c:pt>
              </c:strCache>
            </c:strRef>
          </c:tx>
          <c:spPr>
            <a:solidFill>
              <a:schemeClr val="accent5"/>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'TAB-DIN'!$F$5:$F$13</c:f>
              <c:numCache>
                <c:formatCode>_(* #,##0.00_);_(* \(#,##0.00\);_(* "-"??_);_(@_)</c:formatCode>
                <c:ptCount val="9"/>
                <c:pt idx="0">
                  <c:v>293831.86749999999</c:v>
                </c:pt>
                <c:pt idx="1">
                  <c:v>314766.10700000002</c:v>
                </c:pt>
                <c:pt idx="2">
                  <c:v>932779.57</c:v>
                </c:pt>
                <c:pt idx="3">
                  <c:v>846104.69000000006</c:v>
                </c:pt>
                <c:pt idx="4">
                  <c:v>858568.00000000012</c:v>
                </c:pt>
                <c:pt idx="5">
                  <c:v>857653.26000000013</c:v>
                </c:pt>
                <c:pt idx="6">
                  <c:v>857657.26000000013</c:v>
                </c:pt>
                <c:pt idx="7">
                  <c:v>578020.87100000004</c:v>
                </c:pt>
                <c:pt idx="8">
                  <c:v>846710.62450000003</c:v>
                </c:pt>
              </c:numCache>
            </c:numRef>
          </c:val>
          <c:extLst>
            <c:ext xmlns:c16="http://schemas.microsoft.com/office/drawing/2014/chart" uri="{C3380CC4-5D6E-409C-BE32-E72D297353CC}">
              <c16:uniqueId val="{00000004-9E32-4BE9-940B-FDC49ED0A34F}"/>
            </c:ext>
          </c:extLst>
        </c:ser>
        <c:ser>
          <c:idx val="5"/>
          <c:order val="5"/>
          <c:tx>
            <c:strRef>
              <c:f>'TAB-DIN'!$G$3:$G$4</c:f>
              <c:strCache>
                <c:ptCount val="1"/>
                <c:pt idx="0">
                  <c:v>CUSTOS - MATERIAIS E FERR</c:v>
                </c:pt>
              </c:strCache>
            </c:strRef>
          </c:tx>
          <c:spPr>
            <a:solidFill>
              <a:schemeClr val="accent6"/>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'TAB-DIN'!$G$5:$G$13</c:f>
              <c:numCache>
                <c:formatCode>_(* #,##0.00_);_(* \(#,##0.00\);_(* "-"??_);_(@_)</c:formatCode>
                <c:ptCount val="9"/>
                <c:pt idx="0">
                  <c:v>0</c:v>
                </c:pt>
                <c:pt idx="1">
                  <c:v>2118.21</c:v>
                </c:pt>
                <c:pt idx="2">
                  <c:v>294229.71999999997</c:v>
                </c:pt>
                <c:pt idx="3">
                  <c:v>563111.36999999988</c:v>
                </c:pt>
                <c:pt idx="4">
                  <c:v>625726.35</c:v>
                </c:pt>
                <c:pt idx="5">
                  <c:v>387989.16</c:v>
                </c:pt>
                <c:pt idx="6">
                  <c:v>433154.58</c:v>
                </c:pt>
                <c:pt idx="7">
                  <c:v>333154.58</c:v>
                </c:pt>
                <c:pt idx="8">
                  <c:v>481208.52999999997</c:v>
                </c:pt>
              </c:numCache>
            </c:numRef>
          </c:val>
          <c:extLst>
            <c:ext xmlns:c16="http://schemas.microsoft.com/office/drawing/2014/chart" uri="{C3380CC4-5D6E-409C-BE32-E72D297353CC}">
              <c16:uniqueId val="{00000005-9E32-4BE9-940B-FDC49ED0A34F}"/>
            </c:ext>
          </c:extLst>
        </c:ser>
        <c:ser>
          <c:idx val="6"/>
          <c:order val="6"/>
          <c:tx>
            <c:strRef>
              <c:f>'TAB-DIN'!$H$3:$H$4</c:f>
              <c:strCache>
                <c:ptCount val="1"/>
                <c:pt idx="0">
                  <c:v>CUSTOS - SUBCONTRATAÇÕES</c:v>
                </c:pt>
              </c:strCache>
            </c:strRef>
          </c:tx>
          <c:spPr>
            <a:solidFill>
              <a:schemeClr val="accent1">
                <a:lumMod val="60000"/>
              </a:schemeClr>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'TAB-DIN'!$H$5:$H$13</c:f>
              <c:numCache>
                <c:formatCode>_(* #,##0.00_);_(* \(#,##0.00\);_(* "-"??_);_(@_)</c:formatCode>
                <c:ptCount val="9"/>
                <c:pt idx="0">
                  <c:v>0</c:v>
                </c:pt>
                <c:pt idx="1">
                  <c:v>3000</c:v>
                </c:pt>
                <c:pt idx="2">
                  <c:v>628055.43999999994</c:v>
                </c:pt>
                <c:pt idx="3">
                  <c:v>586935.06999999995</c:v>
                </c:pt>
                <c:pt idx="4">
                  <c:v>202924.25</c:v>
                </c:pt>
                <c:pt idx="5">
                  <c:v>174201</c:v>
                </c:pt>
                <c:pt idx="6">
                  <c:v>174338.5</c:v>
                </c:pt>
                <c:pt idx="7">
                  <c:v>174338.5</c:v>
                </c:pt>
                <c:pt idx="8">
                  <c:v>694987.48</c:v>
                </c:pt>
              </c:numCache>
            </c:numRef>
          </c:val>
          <c:extLst>
            <c:ext xmlns:c16="http://schemas.microsoft.com/office/drawing/2014/chart" uri="{C3380CC4-5D6E-409C-BE32-E72D297353CC}">
              <c16:uniqueId val="{00000006-9E32-4BE9-940B-FDC49ED0A34F}"/>
            </c:ext>
          </c:extLst>
        </c:ser>
        <c:ser>
          <c:idx val="7"/>
          <c:order val="7"/>
          <c:tx>
            <c:strRef>
              <c:f>'TAB-DIN'!$I$3:$I$4</c:f>
              <c:strCache>
                <c:ptCount val="1"/>
                <c:pt idx="0">
                  <c:v>CUSTOS - ALUGUEL DE EQUIP</c:v>
                </c:pt>
              </c:strCache>
            </c:strRef>
          </c:tx>
          <c:spPr>
            <a:solidFill>
              <a:schemeClr val="accent2">
                <a:lumMod val="60000"/>
              </a:schemeClr>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'TAB-DIN'!$I$5:$I$13</c:f>
              <c:numCache>
                <c:formatCode>_(* #,##0.00_);_(* \(#,##0.00\);_(* "-"??_);_(@_)</c:formatCode>
                <c:ptCount val="9"/>
                <c:pt idx="0">
                  <c:v>1000</c:v>
                </c:pt>
                <c:pt idx="1">
                  <c:v>1577.46</c:v>
                </c:pt>
                <c:pt idx="2">
                  <c:v>391119.10000000003</c:v>
                </c:pt>
                <c:pt idx="3">
                  <c:v>367245.92</c:v>
                </c:pt>
                <c:pt idx="4">
                  <c:v>429735.4</c:v>
                </c:pt>
                <c:pt idx="5">
                  <c:v>443290.49000000005</c:v>
                </c:pt>
                <c:pt idx="6">
                  <c:v>443290.49000000005</c:v>
                </c:pt>
                <c:pt idx="7">
                  <c:v>279174.84000000003</c:v>
                </c:pt>
                <c:pt idx="8">
                  <c:v>601640.41</c:v>
                </c:pt>
              </c:numCache>
            </c:numRef>
          </c:val>
          <c:extLst>
            <c:ext xmlns:c16="http://schemas.microsoft.com/office/drawing/2014/chart" uri="{C3380CC4-5D6E-409C-BE32-E72D297353CC}">
              <c16:uniqueId val="{00000002-688F-4564-8612-C53D5E1EC6D4}"/>
            </c:ext>
          </c:extLst>
        </c:ser>
        <c:ser>
          <c:idx val="8"/>
          <c:order val="8"/>
          <c:tx>
            <c:strRef>
              <c:f>'TAB-DIN'!$J$3:$J$4</c:f>
              <c:strCache>
                <c:ptCount val="1"/>
                <c:pt idx="0">
                  <c:v>CUSTOS - FORNEC ESPECIAIS</c:v>
                </c:pt>
              </c:strCache>
            </c:strRef>
          </c:tx>
          <c:spPr>
            <a:solidFill>
              <a:schemeClr val="accent3">
                <a:lumMod val="60000"/>
              </a:schemeClr>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'TAB-DIN'!$J$5:$J$13</c:f>
              <c:numCache>
                <c:formatCode>_(* #,##0.00_);_(* \(#,##0.00\);_(* "-"??_);_(@_)</c:formatCode>
                <c:ptCount val="9"/>
                <c:pt idx="0">
                  <c:v>14574.6</c:v>
                </c:pt>
                <c:pt idx="1">
                  <c:v>14574.6</c:v>
                </c:pt>
                <c:pt idx="2">
                  <c:v>14574.6</c:v>
                </c:pt>
                <c:pt idx="3">
                  <c:v>0</c:v>
                </c:pt>
                <c:pt idx="4">
                  <c:v>0</c:v>
                </c:pt>
                <c:pt idx="5">
                  <c:v>0</c:v>
                </c:pt>
                <c:pt idx="6">
                  <c:v>0</c:v>
                </c:pt>
                <c:pt idx="7">
                  <c:v>0</c:v>
                </c:pt>
                <c:pt idx="8">
                  <c:v>0</c:v>
                </c:pt>
              </c:numCache>
            </c:numRef>
          </c:val>
          <c:extLst>
            <c:ext xmlns:c16="http://schemas.microsoft.com/office/drawing/2014/chart" uri="{C3380CC4-5D6E-409C-BE32-E72D297353CC}">
              <c16:uniqueId val="{00000003-688F-4564-8612-C53D5E1EC6D4}"/>
            </c:ext>
          </c:extLst>
        </c:ser>
        <c:ser>
          <c:idx val="9"/>
          <c:order val="9"/>
          <c:tx>
            <c:strRef>
              <c:f>'TAB-DIN'!$K$3:$K$4</c:f>
              <c:strCache>
                <c:ptCount val="1"/>
                <c:pt idx="0">
                  <c:v>RECEITA - PREVISÃO ACUMULADA</c:v>
                </c:pt>
              </c:strCache>
            </c:strRef>
          </c:tx>
          <c:spPr>
            <a:solidFill>
              <a:schemeClr val="accent4">
                <a:lumMod val="60000"/>
              </a:schemeClr>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'TAB-DIN'!$K$5:$K$13</c:f>
              <c:numCache>
                <c:formatCode>_(* #,##0.00_);_(* \(#,##0.00\);_(* "-"??_);_(@_)</c:formatCode>
                <c:ptCount val="9"/>
                <c:pt idx="0">
                  <c:v>2682441.8640861488</c:v>
                </c:pt>
                <c:pt idx="1">
                  <c:v>6187271.9591545826</c:v>
                </c:pt>
                <c:pt idx="2">
                  <c:v>11723594.294222847</c:v>
                </c:pt>
                <c:pt idx="3">
                  <c:v>15103334.066989539</c:v>
                </c:pt>
                <c:pt idx="4">
                  <c:v>18666698.814646754</c:v>
                </c:pt>
                <c:pt idx="5">
                  <c:v>21349739.737012953</c:v>
                </c:pt>
                <c:pt idx="6">
                  <c:v>24429717.823817354</c:v>
                </c:pt>
                <c:pt idx="7">
                  <c:v>26906718.816159554</c:v>
                </c:pt>
                <c:pt idx="8">
                  <c:v>29312910.035344154</c:v>
                </c:pt>
              </c:numCache>
            </c:numRef>
          </c:val>
          <c:extLst>
            <c:ext xmlns:c16="http://schemas.microsoft.com/office/drawing/2014/chart" uri="{C3380CC4-5D6E-409C-BE32-E72D297353CC}">
              <c16:uniqueId val="{00000004-688F-4564-8612-C53D5E1EC6D4}"/>
            </c:ext>
          </c:extLst>
        </c:ser>
        <c:ser>
          <c:idx val="10"/>
          <c:order val="10"/>
          <c:tx>
            <c:strRef>
              <c:f>'TAB-DIN'!$L$3:$L$4</c:f>
              <c:strCache>
                <c:ptCount val="1"/>
                <c:pt idx="0">
                  <c:v>RECEITA - BRUTA TOTAL ACUM</c:v>
                </c:pt>
              </c:strCache>
            </c:strRef>
          </c:tx>
          <c:spPr>
            <a:solidFill>
              <a:schemeClr val="accent5">
                <a:lumMod val="60000"/>
              </a:schemeClr>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'TAB-DIN'!$L$5:$L$13</c:f>
              <c:numCache>
                <c:formatCode>_(* #,##0.00_);_(* \(#,##0.00\);_(* "-"??_);_(@_)</c:formatCode>
                <c:ptCount val="9"/>
                <c:pt idx="0">
                  <c:v>2682398.1800000002</c:v>
                </c:pt>
                <c:pt idx="1">
                  <c:v>6187169.4800000004</c:v>
                </c:pt>
                <c:pt idx="2">
                  <c:v>11007157.610363724</c:v>
                </c:pt>
                <c:pt idx="3">
                  <c:v>14865158.41630576</c:v>
                </c:pt>
                <c:pt idx="4">
                  <c:v>18037941.561206073</c:v>
                </c:pt>
                <c:pt idx="5">
                  <c:v>20246373.725916471</c:v>
                </c:pt>
                <c:pt idx="6">
                  <c:v>23611768.17369467</c:v>
                </c:pt>
                <c:pt idx="7">
                  <c:v>25913158.899647269</c:v>
                </c:pt>
                <c:pt idx="8">
                  <c:v>28029620.747924868</c:v>
                </c:pt>
              </c:numCache>
            </c:numRef>
          </c:val>
          <c:extLst>
            <c:ext xmlns:c16="http://schemas.microsoft.com/office/drawing/2014/chart" uri="{C3380CC4-5D6E-409C-BE32-E72D297353CC}">
              <c16:uniqueId val="{00000005-688F-4564-8612-C53D5E1EC6D4}"/>
            </c:ext>
          </c:extLst>
        </c:ser>
        <c:ser>
          <c:idx val="11"/>
          <c:order val="11"/>
          <c:tx>
            <c:strRef>
              <c:f>'TAB-DIN'!$M$3:$M$4</c:f>
              <c:strCache>
                <c:ptCount val="1"/>
                <c:pt idx="0">
                  <c:v>RECEITA - LÍQUIDA ACUM</c:v>
                </c:pt>
              </c:strCache>
            </c:strRef>
          </c:tx>
          <c:spPr>
            <a:solidFill>
              <a:schemeClr val="accent6">
                <a:lumMod val="60000"/>
              </a:schemeClr>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'TAB-DIN'!$M$5:$M$13</c:f>
              <c:numCache>
                <c:formatCode>_(* #,##0.00_);_(* \(#,##0.00\);_(* "-"??_);_(@_)</c:formatCode>
                <c:ptCount val="9"/>
                <c:pt idx="0">
                  <c:v>1896991.9928960002</c:v>
                </c:pt>
                <c:pt idx="1">
                  <c:v>4375566.2562560001</c:v>
                </c:pt>
                <c:pt idx="2">
                  <c:v>7784261.8620492257</c:v>
                </c:pt>
                <c:pt idx="3">
                  <c:v>10512640.032011434</c:v>
                </c:pt>
                <c:pt idx="4">
                  <c:v>12756432.272084936</c:v>
                </c:pt>
                <c:pt idx="5">
                  <c:v>14318235.498968132</c:v>
                </c:pt>
                <c:pt idx="6">
                  <c:v>16698242.452436876</c:v>
                </c:pt>
                <c:pt idx="7">
                  <c:v>18325785.973830555</c:v>
                </c:pt>
                <c:pt idx="8">
                  <c:v>19822547.792932473</c:v>
                </c:pt>
              </c:numCache>
            </c:numRef>
          </c:val>
          <c:extLst>
            <c:ext xmlns:c16="http://schemas.microsoft.com/office/drawing/2014/chart" uri="{C3380CC4-5D6E-409C-BE32-E72D297353CC}">
              <c16:uniqueId val="{00000006-688F-4564-8612-C53D5E1EC6D4}"/>
            </c:ext>
          </c:extLst>
        </c:ser>
        <c:ser>
          <c:idx val="12"/>
          <c:order val="12"/>
          <c:tx>
            <c:strRef>
              <c:f>'TAB-DIN'!$N$3:$N$4</c:f>
              <c:strCache>
                <c:ptCount val="1"/>
                <c:pt idx="0">
                  <c:v>CUSTOS - ACUMULADOS</c:v>
                </c:pt>
              </c:strCache>
            </c:strRef>
          </c:tx>
          <c:spPr>
            <a:solidFill>
              <a:schemeClr val="accent1">
                <a:lumMod val="80000"/>
                <a:lumOff val="20000"/>
              </a:schemeClr>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'TAB-DIN'!$N$5:$N$13</c:f>
              <c:numCache>
                <c:formatCode>_(* #,##0.00_);_(* \(#,##0.00\);_(* "-"??_);_(@_)</c:formatCode>
                <c:ptCount val="9"/>
                <c:pt idx="0">
                  <c:v>309406.46749999997</c:v>
                </c:pt>
                <c:pt idx="1">
                  <c:v>645442.84450000001</c:v>
                </c:pt>
                <c:pt idx="2">
                  <c:v>2906201.2745000003</c:v>
                </c:pt>
                <c:pt idx="3">
                  <c:v>5269598.3245000001</c:v>
                </c:pt>
                <c:pt idx="4">
                  <c:v>7386552.3245000001</c:v>
                </c:pt>
                <c:pt idx="5">
                  <c:v>9249686.2345000003</c:v>
                </c:pt>
                <c:pt idx="6">
                  <c:v>11158127.0645</c:v>
                </c:pt>
                <c:pt idx="7">
                  <c:v>12522815.855500001</c:v>
                </c:pt>
                <c:pt idx="8">
                  <c:v>11874233.278999999</c:v>
                </c:pt>
              </c:numCache>
            </c:numRef>
          </c:val>
          <c:extLst>
            <c:ext xmlns:c16="http://schemas.microsoft.com/office/drawing/2014/chart" uri="{C3380CC4-5D6E-409C-BE32-E72D297353CC}">
              <c16:uniqueId val="{00000007-688F-4564-8612-C53D5E1EC6D4}"/>
            </c:ext>
          </c:extLst>
        </c:ser>
        <c:ser>
          <c:idx val="13"/>
          <c:order val="13"/>
          <c:tx>
            <c:strRef>
              <c:f>'TAB-DIN'!$O$3:$O$4</c:f>
              <c:strCache>
                <c:ptCount val="1"/>
                <c:pt idx="0">
                  <c:v>RESULTADO</c:v>
                </c:pt>
              </c:strCache>
            </c:strRef>
          </c:tx>
          <c:spPr>
            <a:solidFill>
              <a:schemeClr val="accent2">
                <a:lumMod val="80000"/>
                <a:lumOff val="20000"/>
              </a:schemeClr>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'TAB-DIN'!$O$5:$O$13</c:f>
              <c:numCache>
                <c:formatCode>_(* #,##0.00_);_(* \(#,##0.00\);_(* "-"??_);_(@_)</c:formatCode>
                <c:ptCount val="9"/>
                <c:pt idx="0">
                  <c:v>1587585.5253960001</c:v>
                </c:pt>
                <c:pt idx="1">
                  <c:v>2142537.8863599999</c:v>
                </c:pt>
                <c:pt idx="2">
                  <c:v>1147937.1757932249</c:v>
                </c:pt>
                <c:pt idx="3">
                  <c:v>364981.11996220797</c:v>
                </c:pt>
                <c:pt idx="4">
                  <c:v>126838.24007350113</c:v>
                </c:pt>
                <c:pt idx="5">
                  <c:v>-301330.68311680527</c:v>
                </c:pt>
                <c:pt idx="6">
                  <c:v>471566.12346874271</c:v>
                </c:pt>
                <c:pt idx="7">
                  <c:v>262854.73039367818</c:v>
                </c:pt>
                <c:pt idx="8">
                  <c:v>-1127785.2253980811</c:v>
                </c:pt>
              </c:numCache>
            </c:numRef>
          </c:val>
          <c:extLst>
            <c:ext xmlns:c16="http://schemas.microsoft.com/office/drawing/2014/chart" uri="{C3380CC4-5D6E-409C-BE32-E72D297353CC}">
              <c16:uniqueId val="{00000008-688F-4564-8612-C53D5E1EC6D4}"/>
            </c:ext>
          </c:extLst>
        </c:ser>
        <c:ser>
          <c:idx val="14"/>
          <c:order val="14"/>
          <c:tx>
            <c:strRef>
              <c:f>'TAB-DIN'!$P$3:$P$4</c:f>
              <c:strCache>
                <c:ptCount val="1"/>
                <c:pt idx="0">
                  <c:v>RESULTADO ACUMULADO</c:v>
                </c:pt>
              </c:strCache>
            </c:strRef>
          </c:tx>
          <c:spPr>
            <a:solidFill>
              <a:schemeClr val="accent3">
                <a:lumMod val="80000"/>
                <a:lumOff val="20000"/>
              </a:schemeClr>
            </a:solidFill>
            <a:ln>
              <a:noFill/>
            </a:ln>
            <a:effectLst/>
          </c:spPr>
          <c:invertIfNegative val="0"/>
          <c:cat>
            <c:strRef>
              <c:f>'TAB-DIN'!$A$5:$A$13</c:f>
              <c:strCache>
                <c:ptCount val="9"/>
                <c:pt idx="0">
                  <c:v>Set/25 </c:v>
                </c:pt>
                <c:pt idx="1">
                  <c:v>Out/25 </c:v>
                </c:pt>
                <c:pt idx="2">
                  <c:v>Nov/25 </c:v>
                </c:pt>
                <c:pt idx="3">
                  <c:v>Dez/25 </c:v>
                </c:pt>
                <c:pt idx="4">
                  <c:v>Jan/26 </c:v>
                </c:pt>
                <c:pt idx="5">
                  <c:v>Fev/26 </c:v>
                </c:pt>
                <c:pt idx="6">
                  <c:v>Mar/26 </c:v>
                </c:pt>
                <c:pt idx="7">
                  <c:v>Abr/26 </c:v>
                </c:pt>
                <c:pt idx="8">
                  <c:v>Mai/26 </c:v>
                </c:pt>
              </c:strCache>
            </c:strRef>
          </c:cat>
          <c:val>
            <c:numRef>
              <c:f>'TAB-DIN'!$P$5:$P$13</c:f>
              <c:numCache>
                <c:formatCode>_(* #,##0.00_);_(* \(#,##0.00\);_(* "-"??_);_(@_)</c:formatCode>
                <c:ptCount val="9"/>
                <c:pt idx="0">
                  <c:v>1587585.5253960001</c:v>
                </c:pt>
                <c:pt idx="1">
                  <c:v>3730123.411756</c:v>
                </c:pt>
                <c:pt idx="2">
                  <c:v>4878060.5875492245</c:v>
                </c:pt>
                <c:pt idx="3">
                  <c:v>5243041.7075114325</c:v>
                </c:pt>
                <c:pt idx="4">
                  <c:v>5369879.9475849336</c:v>
                </c:pt>
                <c:pt idx="5">
                  <c:v>5068549.2644681279</c:v>
                </c:pt>
                <c:pt idx="6">
                  <c:v>5540115.3879368706</c:v>
                </c:pt>
                <c:pt idx="7">
                  <c:v>5802970.1183305485</c:v>
                </c:pt>
                <c:pt idx="8">
                  <c:v>4675184.8929324672</c:v>
                </c:pt>
              </c:numCache>
            </c:numRef>
          </c:val>
          <c:extLst>
            <c:ext xmlns:c16="http://schemas.microsoft.com/office/drawing/2014/chart" uri="{C3380CC4-5D6E-409C-BE32-E72D297353CC}">
              <c16:uniqueId val="{00000009-688F-4564-8612-C53D5E1EC6D4}"/>
            </c:ext>
          </c:extLst>
        </c:ser>
        <c:dLbls>
          <c:showLegendKey val="0"/>
          <c:showVal val="0"/>
          <c:showCatName val="0"/>
          <c:showSerName val="0"/>
          <c:showPercent val="0"/>
          <c:showBubbleSize val="0"/>
        </c:dLbls>
        <c:gapWidth val="219"/>
        <c:overlap val="-27"/>
        <c:axId val="1305392464"/>
        <c:axId val="1305395792"/>
      </c:barChart>
      <c:catAx>
        <c:axId val="130539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05395792"/>
        <c:crosses val="autoZero"/>
        <c:auto val="1"/>
        <c:lblAlgn val="ctr"/>
        <c:lblOffset val="100"/>
        <c:noMultiLvlLbl val="0"/>
      </c:catAx>
      <c:valAx>
        <c:axId val="1305395792"/>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pt-BR"/>
          </a:p>
        </c:txPr>
        <c:crossAx val="13053924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pt-BR"/>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2</xdr:rowOff>
    </xdr:from>
    <xdr:to>
      <xdr:col>13</xdr:col>
      <xdr:colOff>0</xdr:colOff>
      <xdr:row>28</xdr:row>
      <xdr:rowOff>190499</xdr:rowOff>
    </xdr:to>
    <xdr:grpSp>
      <xdr:nvGrpSpPr>
        <xdr:cNvPr id="2" name="Agrupar 1">
          <a:extLst>
            <a:ext uri="{FF2B5EF4-FFF2-40B4-BE49-F238E27FC236}">
              <a16:creationId xmlns:a16="http://schemas.microsoft.com/office/drawing/2014/main" id="{9EFC4E02-F02D-413F-B53C-21796E56CBEC}"/>
            </a:ext>
          </a:extLst>
        </xdr:cNvPr>
        <xdr:cNvGrpSpPr/>
      </xdr:nvGrpSpPr>
      <xdr:grpSpPr>
        <a:xfrm>
          <a:off x="0" y="2"/>
          <a:ext cx="15973425" cy="6915147"/>
          <a:chOff x="0" y="-1"/>
          <a:chExt cx="12269932" cy="6113490"/>
        </a:xfrm>
      </xdr:grpSpPr>
      <xdr:graphicFrame macro="">
        <xdr:nvGraphicFramePr>
          <xdr:cNvPr id="3" name="Gráfico 2">
            <a:extLst>
              <a:ext uri="{FF2B5EF4-FFF2-40B4-BE49-F238E27FC236}">
                <a16:creationId xmlns:a16="http://schemas.microsoft.com/office/drawing/2014/main" id="{231BCEC4-66A9-4AEB-ACE3-F39F2A7987C5}"/>
              </a:ext>
            </a:extLst>
          </xdr:cNvPr>
          <xdr:cNvGraphicFramePr>
            <a:graphicFrameLocks/>
          </xdr:cNvGraphicFramePr>
        </xdr:nvGraphicFramePr>
        <xdr:xfrm>
          <a:off x="0" y="1113933"/>
          <a:ext cx="12269932" cy="4999556"/>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graphicFrame macro="">
            <xdr:nvGraphicFramePr>
              <xdr:cNvPr id="5" name="TIPO">
                <a:extLst>
                  <a:ext uri="{FF2B5EF4-FFF2-40B4-BE49-F238E27FC236}">
                    <a16:creationId xmlns:a16="http://schemas.microsoft.com/office/drawing/2014/main" id="{94D74A50-2F7E-4D0B-B8C7-E7461CEC15F9}"/>
                  </a:ext>
                </a:extLst>
              </xdr:cNvPr>
              <xdr:cNvGraphicFramePr>
                <a:graphicFrameLocks noMove="1" noResize="1"/>
              </xdr:cNvGraphicFramePr>
            </xdr:nvGraphicFramePr>
            <xdr:xfrm>
              <a:off x="0" y="-1"/>
              <a:ext cx="1007624" cy="1166909"/>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0" y="2"/>
                <a:ext cx="1312684" cy="11520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grpSp>
    <xdr:clientData/>
  </xdr:twoCellAnchor>
  <xdr:twoCellAnchor editAs="absolute">
    <xdr:from>
      <xdr:col>0</xdr:col>
      <xdr:colOff>74110</xdr:colOff>
      <xdr:row>0</xdr:row>
      <xdr:rowOff>263389</xdr:rowOff>
    </xdr:from>
    <xdr:to>
      <xdr:col>0</xdr:col>
      <xdr:colOff>1209824</xdr:colOff>
      <xdr:row>0</xdr:row>
      <xdr:rowOff>443389</xdr:rowOff>
    </xdr:to>
    <xdr:sp macro="[0]!ATUALIZAR" textlink="">
      <xdr:nvSpPr>
        <xdr:cNvPr id="6" name="Hexágono 5">
          <a:extLst>
            <a:ext uri="{FF2B5EF4-FFF2-40B4-BE49-F238E27FC236}">
              <a16:creationId xmlns:a16="http://schemas.microsoft.com/office/drawing/2014/main" id="{3A139815-FEF3-47D5-A312-A098A149C45E}"/>
            </a:ext>
          </a:extLst>
        </xdr:cNvPr>
        <xdr:cNvSpPr/>
      </xdr:nvSpPr>
      <xdr:spPr>
        <a:xfrm>
          <a:off x="74110" y="263389"/>
          <a:ext cx="1135714" cy="180000"/>
        </a:xfrm>
        <a:prstGeom prst="hexagon">
          <a:avLst/>
        </a:prstGeom>
        <a:solidFill>
          <a:schemeClr val="accent6"/>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t>ATUALIZAR</a:t>
          </a:r>
        </a:p>
      </xdr:txBody>
    </xdr:sp>
    <xdr:clientData/>
  </xdr:twoCellAnchor>
  <xdr:twoCellAnchor editAs="oneCell">
    <xdr:from>
      <xdr:col>1</xdr:col>
      <xdr:colOff>69272</xdr:colOff>
      <xdr:row>0</xdr:row>
      <xdr:rowOff>0</xdr:rowOff>
    </xdr:from>
    <xdr:to>
      <xdr:col>12</xdr:col>
      <xdr:colOff>1168975</xdr:colOff>
      <xdr:row>4</xdr:row>
      <xdr:rowOff>14932</xdr:rowOff>
    </xdr:to>
    <mc:AlternateContent xmlns:mc="http://schemas.openxmlformats.org/markup-compatibility/2006" xmlns:a14="http://schemas.microsoft.com/office/drawing/2010/main">
      <mc:Choice Requires="a14">
        <xdr:graphicFrame macro="">
          <xdr:nvGraphicFramePr>
            <xdr:cNvPr id="8" name="DESCRIÇÃO DO TIPO">
              <a:extLst>
                <a:ext uri="{FF2B5EF4-FFF2-40B4-BE49-F238E27FC236}">
                  <a16:creationId xmlns:a16="http://schemas.microsoft.com/office/drawing/2014/main" id="{FE85A058-2FFC-44A2-AA8E-25D2C53B55E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ESCRIÇÃO DO TIPO"/>
            </a:graphicData>
          </a:graphic>
        </xdr:graphicFrame>
      </mc:Choice>
      <mc:Fallback xmlns="">
        <xdr:sp macro="" textlink="">
          <xdr:nvSpPr>
            <xdr:cNvPr id="0" name=""/>
            <xdr:cNvSpPr>
              <a:spLocks noTextEdit="1"/>
            </xdr:cNvSpPr>
          </xdr:nvSpPr>
          <xdr:spPr>
            <a:xfrm>
              <a:off x="1298863" y="0"/>
              <a:ext cx="14625203" cy="10800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47625</xdr:colOff>
      <xdr:row>0</xdr:row>
      <xdr:rowOff>19050</xdr:rowOff>
    </xdr:from>
    <xdr:to>
      <xdr:col>5</xdr:col>
      <xdr:colOff>464128</xdr:colOff>
      <xdr:row>2</xdr:row>
      <xdr:rowOff>206040</xdr:rowOff>
    </xdr:to>
    <xdr:pic>
      <xdr:nvPicPr>
        <xdr:cNvPr id="3" name="Imagem 2">
          <a:extLst>
            <a:ext uri="{FF2B5EF4-FFF2-40B4-BE49-F238E27FC236}">
              <a16:creationId xmlns:a16="http://schemas.microsoft.com/office/drawing/2014/main" id="{6F8B87BF-350E-46FA-83F2-CF186732F29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5366" t="28971" r="14049" b="39292"/>
        <a:stretch/>
      </xdr:blipFill>
      <xdr:spPr>
        <a:xfrm>
          <a:off x="3822989" y="19050"/>
          <a:ext cx="1438275" cy="63726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85724</xdr:colOff>
      <xdr:row>0</xdr:row>
      <xdr:rowOff>0</xdr:rowOff>
    </xdr:from>
    <xdr:to>
      <xdr:col>1</xdr:col>
      <xdr:colOff>2009774</xdr:colOff>
      <xdr:row>0</xdr:row>
      <xdr:rowOff>648000</xdr:rowOff>
    </xdr:to>
    <mc:AlternateContent xmlns:mc="http://schemas.openxmlformats.org/markup-compatibility/2006" xmlns:sle15="http://schemas.microsoft.com/office/drawing/2012/slicer">
      <mc:Choice Requires="sle15">
        <xdr:graphicFrame macro="">
          <xdr:nvGraphicFramePr>
            <xdr:cNvPr id="2" name="TOMADOR 4">
              <a:extLst>
                <a:ext uri="{FF2B5EF4-FFF2-40B4-BE49-F238E27FC236}">
                  <a16:creationId xmlns:a16="http://schemas.microsoft.com/office/drawing/2014/main" id="{DEDC09FA-3B56-4417-BEFA-6F27D83D2F6C}"/>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OMADOR 4"/>
            </a:graphicData>
          </a:graphic>
        </xdr:graphicFrame>
      </mc:Choice>
      <mc:Fallback xmlns="">
        <xdr:sp macro="" textlink="">
          <xdr:nvSpPr>
            <xdr:cNvPr id="0" name=""/>
            <xdr:cNvSpPr>
              <a:spLocks noTextEdit="1"/>
            </xdr:cNvSpPr>
          </xdr:nvSpPr>
          <xdr:spPr>
            <a:xfrm>
              <a:off x="85724" y="0"/>
              <a:ext cx="2695575" cy="648000"/>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ng_aroldo\Meus%20documentos\GEOSOLO\PAVIMENT_VG\Medi&#231;&#227;o%20n&#186;%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ng_aroldo\Meus%20documentos\GEOSOLO\PAVIMENT_VG\Med_5_marajoar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TEP/Documents/CONTRATOS/FARMANGUINHOS/CPUs%20civil%20FARMANGUINHO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GE-OPE_OAE_PPO\RESERVADA\PPO\P&#243;s-Opera&#231;&#227;o\Informativo%20Produ&#231;&#227;o%20de%20Energia%20SIN\Remodelagem%202\informativo_geracao_ipdo_DO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COMPARTILHADO\Restrito\Licita&#231;&#245;es\&#193;reas%20Verdes\Composi&#231;&#227;o%20&#193;reas%20Verde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Maysa\c\INTERNET\Eudora\Attach\SBLO_PcP-AmpTPS_fora_CLP.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G:\EXCEL\CECAV\OR&#199;CILNI.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E:\Or&#231;amentos\Or&#231;ada%20aguardando%20abertura\Oportunidade%207003370438%20-%20Servi&#231;os%20auxiliar%20industria\MARIO\PROFISSIONAL\CNO\07.PROJETO%20RETROFIT%20BNI\05.PLANO%20DE%20NEG&#211;CIO\REV0\Estudo%20preliminar.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Geison%20Bezerra/Desktop/Curva%20S%20-%20Fisico%20e%20Financeiro%20SS-10%20-%2023-11-2020.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E:\EN\Setor\Contrata&#231;&#227;o\LICITA&#199;&#213;ES\EM%20ANDAMENTO\CTR%20Gest&#227;o_EN_MO_Fred\4-%20DFP%20Gest&#227;oMO4.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atório-5ª med."/>
      <sheetName val="RESUMO-DVOP"/>
      <sheetName val="REAJUSTE "/>
      <sheetName val="Rem. e limpeza "/>
      <sheetName val="Cubação - Teórica"/>
      <sheetName val="DMT - TEORICO "/>
      <sheetName val="Cub.-Med 5"/>
      <sheetName val="DMT-5ª MEDIÇÃO "/>
      <sheetName val="Cronograma Físico-Financeiro"/>
      <sheetName val="Cronograma Semanal"/>
      <sheetName val="Bueiros"/>
      <sheetName val="Regula"/>
      <sheetName val="Sub-base"/>
      <sheetName val="Base"/>
      <sheetName val="Imprimação"/>
      <sheetName val="CBUQ"/>
      <sheetName val="Colchão drenante"/>
      <sheetName val="TSS"/>
      <sheetName val="TSD-FOG"/>
      <sheetName val="AGREGADOS"/>
      <sheetName val="Pintura"/>
      <sheetName val="Grama"/>
      <sheetName val="Transporte de brita"/>
      <sheetName val="DRENO"/>
      <sheetName val="DRENO SALDO"/>
      <sheetName val="AÇO CA-50"/>
      <sheetName val="AÇO CA-50 (2)"/>
      <sheetName val="DMT - TEORICO 2"/>
      <sheetName val="Acumulado"/>
      <sheetName val="Relação Documentos"/>
    </sheetNames>
    <sheetDataSet>
      <sheetData sheetId="0"/>
      <sheetData sheetId="1"/>
      <sheetData sheetId="2"/>
      <sheetData sheetId="3"/>
      <sheetData sheetId="4"/>
      <sheetData sheetId="5"/>
      <sheetData sheetId="6"/>
      <sheetData sheetId="7"/>
      <sheetData sheetId="8"/>
      <sheetData sheetId="9"/>
      <sheetData sheetId="10"/>
      <sheetData sheetId="11" refreshError="1">
        <row r="36">
          <cell r="J36">
            <v>39224</v>
          </cell>
          <cell r="M36">
            <v>39224</v>
          </cell>
        </row>
      </sheetData>
      <sheetData sheetId="12" refreshError="1">
        <row r="36">
          <cell r="U36">
            <v>228419.09999999998</v>
          </cell>
        </row>
      </sheetData>
      <sheetData sheetId="13" refreshError="1">
        <row r="39">
          <cell r="U39">
            <v>263049.59999999998</v>
          </cell>
        </row>
        <row r="40">
          <cell r="U40">
            <v>13152.48</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l"/>
      <sheetName val="MED_5"/>
      <sheetName val="REL MED_5"/>
      <sheetName val="Relatório-1ª med."/>
      <sheetName val="DRENA"/>
      <sheetName val="Plan2"/>
      <sheetName val="Plan3"/>
      <sheetName val="Plan4"/>
      <sheetName val="Plan5"/>
      <sheetName val="Plan6"/>
      <sheetName val="Plan7"/>
      <sheetName val="Plan8"/>
      <sheetName val="Plan9"/>
      <sheetName val="Plan10"/>
      <sheetName val="Plan11"/>
      <sheetName val="Plan12"/>
      <sheetName val="Plan13"/>
      <sheetName val="Plan14"/>
      <sheetName val="Plan15"/>
      <sheetName val="Plan16"/>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Composição item 2"/>
      <sheetName val="Composição item 3"/>
      <sheetName val="Composição item 4"/>
      <sheetName val="Composição item 5"/>
      <sheetName val="Composição item 10"/>
      <sheetName val="Composição item 13"/>
      <sheetName val="Composição item 14"/>
      <sheetName val="Composição item 15"/>
      <sheetName val="Composição item 17"/>
      <sheetName val="Composição item 18"/>
      <sheetName val="2.4"/>
      <sheetName val="2.6"/>
      <sheetName val="2.8"/>
      <sheetName val="2.10"/>
      <sheetName val="2.11"/>
      <sheetName val="2.12"/>
      <sheetName val="2.15"/>
      <sheetName val="2.16"/>
      <sheetName val="2.17"/>
      <sheetName val="2.18"/>
      <sheetName val="2.19"/>
      <sheetName val="2.20"/>
      <sheetName val="2.21"/>
      <sheetName val="2.22"/>
      <sheetName val="2.23"/>
      <sheetName val="2.24"/>
      <sheetName val="2.25"/>
      <sheetName val="2.26"/>
    </sheetNames>
    <sheetDataSet>
      <sheetData sheetId="0"/>
      <sheetData sheetId="1">
        <row r="40">
          <cell r="I40">
            <v>873.57560000000012</v>
          </cell>
        </row>
      </sheetData>
      <sheetData sheetId="2">
        <row r="40">
          <cell r="I40">
            <v>1771918.625</v>
          </cell>
        </row>
      </sheetData>
      <sheetData sheetId="3">
        <row r="40">
          <cell r="J40">
            <v>4.2416</v>
          </cell>
        </row>
      </sheetData>
      <sheetData sheetId="4">
        <row r="40">
          <cell r="I40">
            <v>16.96</v>
          </cell>
        </row>
      </sheetData>
      <sheetData sheetId="5">
        <row r="40">
          <cell r="I40">
            <v>6.8528799999999999</v>
          </cell>
        </row>
      </sheetData>
      <sheetData sheetId="6">
        <row r="40">
          <cell r="I40">
            <v>5.9120000000000008</v>
          </cell>
        </row>
      </sheetData>
      <sheetData sheetId="7">
        <row r="42">
          <cell r="L42">
            <v>9.2335999999999991</v>
          </cell>
        </row>
      </sheetData>
      <sheetData sheetId="8">
        <row r="40">
          <cell r="I40">
            <v>53.924000000000007</v>
          </cell>
        </row>
      </sheetData>
      <sheetData sheetId="9">
        <row r="40">
          <cell r="I40">
            <v>126.57114</v>
          </cell>
        </row>
      </sheetData>
      <sheetData sheetId="10">
        <row r="40">
          <cell r="I40">
            <v>2.6992000000000003</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ção de Dados"/>
      <sheetName val="Importação de Dados (2)"/>
      <sheetName val="Conferência de Dados"/>
      <sheetName val="Tratamento de Dados"/>
      <sheetName val="Tratamento de Dados (2)"/>
      <sheetName val="TABELAS"/>
      <sheetName val="Tabela de Geração"/>
      <sheetName val="Dados do Gráfico"/>
      <sheetName val="Gráfico"/>
      <sheetName val="Dados do Gráfico Comparação"/>
      <sheetName val="Gráfico Comparação I"/>
      <sheetName val="Gráfico Comparação II"/>
      <sheetName val="Constantes"/>
      <sheetName val="Dados_óleo"/>
    </sheetNames>
    <sheetDataSet>
      <sheetData sheetId="0"/>
      <sheetData sheetId="1"/>
      <sheetData sheetId="2">
        <row r="10">
          <cell r="D10">
            <v>384</v>
          </cell>
        </row>
        <row r="11">
          <cell r="D11">
            <v>1361</v>
          </cell>
        </row>
        <row r="12">
          <cell r="D12">
            <v>638</v>
          </cell>
        </row>
        <row r="13">
          <cell r="D13">
            <v>539</v>
          </cell>
        </row>
        <row r="14">
          <cell r="D14">
            <v>812</v>
          </cell>
        </row>
        <row r="15">
          <cell r="D15">
            <v>367</v>
          </cell>
        </row>
        <row r="16">
          <cell r="D16">
            <v>118</v>
          </cell>
        </row>
        <row r="17">
          <cell r="D17">
            <v>990</v>
          </cell>
        </row>
        <row r="18">
          <cell r="D18">
            <v>194</v>
          </cell>
        </row>
        <row r="19">
          <cell r="D19">
            <v>333</v>
          </cell>
        </row>
        <row r="20">
          <cell r="D20">
            <v>81</v>
          </cell>
        </row>
        <row r="21">
          <cell r="D21">
            <v>575</v>
          </cell>
        </row>
        <row r="22">
          <cell r="D22">
            <v>217</v>
          </cell>
        </row>
        <row r="23">
          <cell r="D23">
            <v>84</v>
          </cell>
        </row>
        <row r="24">
          <cell r="D24">
            <v>216</v>
          </cell>
        </row>
        <row r="25">
          <cell r="D25">
            <v>750</v>
          </cell>
        </row>
        <row r="26">
          <cell r="D26">
            <v>337</v>
          </cell>
        </row>
        <row r="27">
          <cell r="D27">
            <v>153</v>
          </cell>
        </row>
        <row r="28">
          <cell r="D28">
            <v>0</v>
          </cell>
        </row>
        <row r="29">
          <cell r="D29">
            <v>0</v>
          </cell>
        </row>
        <row r="30">
          <cell r="D30">
            <v>34</v>
          </cell>
        </row>
        <row r="31">
          <cell r="D31">
            <v>307</v>
          </cell>
        </row>
        <row r="32">
          <cell r="D32">
            <v>100</v>
          </cell>
        </row>
        <row r="33">
          <cell r="D33">
            <v>64</v>
          </cell>
        </row>
        <row r="34">
          <cell r="D34">
            <v>0</v>
          </cell>
        </row>
        <row r="35">
          <cell r="D35">
            <v>0</v>
          </cell>
        </row>
        <row r="36">
          <cell r="D36">
            <v>144</v>
          </cell>
        </row>
        <row r="37">
          <cell r="D37">
            <v>0</v>
          </cell>
        </row>
        <row r="38">
          <cell r="D38">
            <v>38</v>
          </cell>
        </row>
        <row r="39">
          <cell r="D39">
            <v>0</v>
          </cell>
        </row>
        <row r="40">
          <cell r="D40">
            <v>0</v>
          </cell>
        </row>
        <row r="41">
          <cell r="D41">
            <v>121</v>
          </cell>
        </row>
        <row r="42">
          <cell r="D42">
            <v>335</v>
          </cell>
        </row>
        <row r="43">
          <cell r="D43">
            <v>481</v>
          </cell>
        </row>
        <row r="44">
          <cell r="D44">
            <v>182</v>
          </cell>
        </row>
        <row r="45">
          <cell r="D45">
            <v>186</v>
          </cell>
        </row>
        <row r="46">
          <cell r="D46">
            <v>43</v>
          </cell>
        </row>
        <row r="47">
          <cell r="D47">
            <v>472</v>
          </cell>
        </row>
        <row r="48">
          <cell r="D48">
            <v>0</v>
          </cell>
        </row>
        <row r="49">
          <cell r="D49">
            <v>11</v>
          </cell>
        </row>
        <row r="50">
          <cell r="D50">
            <v>248</v>
          </cell>
        </row>
        <row r="51">
          <cell r="D51">
            <v>0</v>
          </cell>
        </row>
        <row r="52">
          <cell r="D52">
            <v>0</v>
          </cell>
        </row>
        <row r="53">
          <cell r="D53">
            <v>511</v>
          </cell>
        </row>
        <row r="54">
          <cell r="D54">
            <v>557</v>
          </cell>
        </row>
        <row r="55">
          <cell r="D55">
            <v>301</v>
          </cell>
        </row>
        <row r="56">
          <cell r="D56">
            <v>163</v>
          </cell>
        </row>
        <row r="57">
          <cell r="D57">
            <v>96</v>
          </cell>
        </row>
        <row r="58">
          <cell r="D58">
            <v>109</v>
          </cell>
        </row>
        <row r="59">
          <cell r="D59">
            <v>297</v>
          </cell>
        </row>
        <row r="60">
          <cell r="D60">
            <v>154</v>
          </cell>
        </row>
        <row r="61">
          <cell r="D61">
            <v>140</v>
          </cell>
        </row>
        <row r="62">
          <cell r="D62">
            <v>48</v>
          </cell>
        </row>
        <row r="63">
          <cell r="D63">
            <v>123</v>
          </cell>
        </row>
        <row r="64">
          <cell r="D64">
            <v>132</v>
          </cell>
        </row>
        <row r="65">
          <cell r="D65">
            <v>84</v>
          </cell>
        </row>
        <row r="66">
          <cell r="D66">
            <v>92</v>
          </cell>
        </row>
        <row r="67">
          <cell r="D67">
            <v>160</v>
          </cell>
        </row>
        <row r="68">
          <cell r="D68">
            <v>274</v>
          </cell>
        </row>
        <row r="69">
          <cell r="D69">
            <v>64</v>
          </cell>
        </row>
        <row r="70">
          <cell r="D70">
            <v>80</v>
          </cell>
        </row>
        <row r="71">
          <cell r="D71">
            <v>91</v>
          </cell>
        </row>
        <row r="72">
          <cell r="D72">
            <v>85</v>
          </cell>
        </row>
        <row r="73">
          <cell r="D73">
            <v>41</v>
          </cell>
        </row>
        <row r="74">
          <cell r="D74">
            <v>37</v>
          </cell>
        </row>
        <row r="75">
          <cell r="D75">
            <v>68</v>
          </cell>
        </row>
        <row r="76">
          <cell r="D76">
            <v>105</v>
          </cell>
        </row>
        <row r="77">
          <cell r="D77">
            <v>369</v>
          </cell>
        </row>
        <row r="78">
          <cell r="D78">
            <v>114</v>
          </cell>
        </row>
        <row r="79">
          <cell r="D79">
            <v>71</v>
          </cell>
        </row>
        <row r="80">
          <cell r="D80">
            <v>55</v>
          </cell>
        </row>
        <row r="81">
          <cell r="D81">
            <v>265</v>
          </cell>
        </row>
        <row r="82">
          <cell r="D82">
            <v>134</v>
          </cell>
        </row>
        <row r="83">
          <cell r="D83">
            <v>327</v>
          </cell>
        </row>
        <row r="84">
          <cell r="D84">
            <v>0</v>
          </cell>
        </row>
        <row r="85">
          <cell r="D85">
            <v>208</v>
          </cell>
        </row>
        <row r="86">
          <cell r="D86">
            <v>240</v>
          </cell>
        </row>
        <row r="87">
          <cell r="D87">
            <v>0</v>
          </cell>
        </row>
        <row r="88">
          <cell r="D88">
            <v>61</v>
          </cell>
        </row>
        <row r="89">
          <cell r="D89">
            <v>62</v>
          </cell>
        </row>
        <row r="90">
          <cell r="D90">
            <v>66</v>
          </cell>
        </row>
        <row r="91">
          <cell r="D91">
            <v>65</v>
          </cell>
        </row>
        <row r="92">
          <cell r="D92">
            <v>68</v>
          </cell>
        </row>
        <row r="93">
          <cell r="D93">
            <v>159</v>
          </cell>
        </row>
        <row r="94">
          <cell r="D94">
            <v>157</v>
          </cell>
        </row>
        <row r="95">
          <cell r="D95">
            <v>0</v>
          </cell>
        </row>
        <row r="96">
          <cell r="D96">
            <v>55</v>
          </cell>
        </row>
        <row r="97">
          <cell r="D97">
            <v>3</v>
          </cell>
        </row>
        <row r="98">
          <cell r="D98">
            <v>0</v>
          </cell>
        </row>
        <row r="99">
          <cell r="D99">
            <v>7</v>
          </cell>
        </row>
        <row r="100">
          <cell r="D100">
            <v>2</v>
          </cell>
        </row>
        <row r="101">
          <cell r="D101">
            <v>21</v>
          </cell>
        </row>
        <row r="102">
          <cell r="D102">
            <v>0</v>
          </cell>
        </row>
        <row r="103">
          <cell r="D103">
            <v>439</v>
          </cell>
        </row>
        <row r="104">
          <cell r="D104">
            <v>39205</v>
          </cell>
        </row>
        <row r="105">
          <cell r="D105">
            <v>8703</v>
          </cell>
        </row>
        <row r="106">
          <cell r="D106">
            <v>65583</v>
          </cell>
        </row>
        <row r="111">
          <cell r="D111" t="str">
            <v xml:space="preserve">* OCORRÊNCIAS NA REDE DE OPERAÇÃO </v>
          </cell>
        </row>
        <row r="112">
          <cell r="D112" t="str">
            <v xml:space="preserve"> </v>
          </cell>
        </row>
        <row r="113">
          <cell r="D113" t="str">
            <v xml:space="preserve"> Nada a relatar. </v>
          </cell>
        </row>
        <row r="114">
          <cell r="D114" t="str">
            <v xml:space="preserve">* OCORRÊNCIAS NA REDE DE DISTRIBUIÇÃO </v>
          </cell>
        </row>
        <row r="117">
          <cell r="D117">
            <v>9035</v>
          </cell>
        </row>
        <row r="118">
          <cell r="D118">
            <v>43034</v>
          </cell>
        </row>
        <row r="119">
          <cell r="D119">
            <v>13628</v>
          </cell>
        </row>
        <row r="120">
          <cell r="D120">
            <v>8606</v>
          </cell>
        </row>
      </sheetData>
      <sheetData sheetId="3"/>
      <sheetData sheetId="4"/>
      <sheetData sheetId="5">
        <row r="3">
          <cell r="Q3" t="str">
            <v>DATA</v>
          </cell>
          <cell r="R3" t="str">
            <v>Gov. Leonel Brizola/TermoRio</v>
          </cell>
          <cell r="S3" t="str">
            <v>Mário Lago/TermoMacaé</v>
          </cell>
          <cell r="T3" t="str">
            <v>Aureliano Chaves/Ibirité</v>
          </cell>
          <cell r="U3" t="str">
            <v>Luiz Carlos Prestes/Três Lagoas</v>
          </cell>
          <cell r="V3" t="str">
            <v>Barbosa Lima Sobrinho/Eletrobolt</v>
          </cell>
          <cell r="W3" t="str">
            <v>Juiz de Fora</v>
          </cell>
          <cell r="X3" t="str">
            <v>Fernando Gasparian/Nova Piratininga</v>
          </cell>
          <cell r="Y3" t="str">
            <v>Araucária</v>
          </cell>
          <cell r="Z3" t="str">
            <v>Rômulo Almeida/Fafen Energia</v>
          </cell>
          <cell r="AA3" t="str">
            <v>Jesus Soares Pereira</v>
          </cell>
          <cell r="AB3" t="str">
            <v>Termoceará</v>
          </cell>
          <cell r="AC3" t="str">
            <v>Celso Furtado/Termobahia</v>
          </cell>
          <cell r="AD3" t="str">
            <v>Cuiabá</v>
          </cell>
          <cell r="AE3" t="str">
            <v>Sepé Tiaraju/Canoas</v>
          </cell>
          <cell r="AF3" t="str">
            <v>Euzébio Rocha</v>
          </cell>
          <cell r="AG3" t="str">
            <v>Jaraqui</v>
          </cell>
          <cell r="AH3" t="str">
            <v>Tambaqui</v>
          </cell>
          <cell r="AI3" t="str">
            <v>Baixada Fluminense</v>
          </cell>
          <cell r="AL3" t="str">
            <v>DATA</v>
          </cell>
          <cell r="AM3" t="str">
            <v>Sepé Tiaraju/Canoas</v>
          </cell>
          <cell r="AN3" t="str">
            <v>Barbosa Lima Sobrinho/Eletrobolt</v>
          </cell>
          <cell r="AO3" t="str">
            <v>Muricy</v>
          </cell>
          <cell r="AP3" t="str">
            <v>Arembepe</v>
          </cell>
          <cell r="AQ3" t="str">
            <v>Bahia I</v>
          </cell>
          <cell r="AR3" t="str">
            <v>Termoceará</v>
          </cell>
          <cell r="AS3" t="str">
            <v>Cuiabá</v>
          </cell>
          <cell r="AT3" t="str">
            <v>Jaraqui</v>
          </cell>
          <cell r="AU3" t="str">
            <v>Tambaqui</v>
          </cell>
          <cell r="AX3" t="str">
            <v>DATA</v>
          </cell>
          <cell r="AY3" t="str">
            <v>Norte Fluminense</v>
          </cell>
          <cell r="AZ3" t="str">
            <v>Camaçari</v>
          </cell>
          <cell r="BA3" t="str">
            <v>Termopernambuco</v>
          </cell>
          <cell r="BB3" t="str">
            <v>Termofortaleza</v>
          </cell>
          <cell r="BC3" t="str">
            <v>William Arjona</v>
          </cell>
          <cell r="BD3" t="str">
            <v>Uruguaiana</v>
          </cell>
          <cell r="BE3" t="str">
            <v>Luiz O. R. Melo</v>
          </cell>
          <cell r="BF3" t="str">
            <v>Santa Cruz Nova</v>
          </cell>
          <cell r="BG3" t="str">
            <v>Manauara</v>
          </cell>
          <cell r="BH3" t="str">
            <v>Ponta Negra</v>
          </cell>
          <cell r="BI3" t="str">
            <v>Mauá</v>
          </cell>
          <cell r="BJ3" t="str">
            <v>Aparecida</v>
          </cell>
          <cell r="BK3" t="str">
            <v>Araucária</v>
          </cell>
          <cell r="BN3" t="str">
            <v>DATA</v>
          </cell>
          <cell r="BO3" t="str">
            <v>Santa Cruz nova</v>
          </cell>
          <cell r="BP3" t="str">
            <v>W. Arjona</v>
          </cell>
          <cell r="BQ3" t="str">
            <v>Igarapé</v>
          </cell>
          <cell r="BR3" t="str">
            <v>Alegrete</v>
          </cell>
          <cell r="BS3" t="str">
            <v>Xavantes</v>
          </cell>
          <cell r="BT3" t="str">
            <v>Enguia PI *</v>
          </cell>
          <cell r="BU3" t="str">
            <v>Enguia CE *</v>
          </cell>
          <cell r="BV3" t="str">
            <v>Camaçari</v>
          </cell>
          <cell r="BW3" t="str">
            <v>Daia</v>
          </cell>
          <cell r="BX3" t="str">
            <v>Petrolina</v>
          </cell>
          <cell r="BY3" t="str">
            <v>Termocabo</v>
          </cell>
          <cell r="BZ3" t="str">
            <v>Suape II</v>
          </cell>
          <cell r="CA3" t="str">
            <v>Potiguar</v>
          </cell>
          <cell r="CB3" t="str">
            <v>Caçu-I</v>
          </cell>
          <cell r="CC3" t="str">
            <v>Campos</v>
          </cell>
          <cell r="CD3" t="str">
            <v>Carioba</v>
          </cell>
          <cell r="CE3" t="str">
            <v>Global I</v>
          </cell>
          <cell r="CF3" t="str">
            <v>Global II</v>
          </cell>
          <cell r="CG3" t="str">
            <v>Goiânia 2</v>
          </cell>
          <cell r="CH3" t="str">
            <v>Nutepa</v>
          </cell>
          <cell r="CI3" t="str">
            <v>Pau Ferro I</v>
          </cell>
          <cell r="CJ3" t="str">
            <v>Potiguar III</v>
          </cell>
          <cell r="CK3" t="str">
            <v>Rio Acre</v>
          </cell>
          <cell r="CL3" t="str">
            <v>Termomanaus</v>
          </cell>
          <cell r="CM3" t="str">
            <v>Termonorte I</v>
          </cell>
          <cell r="CN3" t="str">
            <v>Termonorte II</v>
          </cell>
          <cell r="CO3" t="str">
            <v>Geramar 1</v>
          </cell>
          <cell r="CP3" t="str">
            <v>Geramar 2</v>
          </cell>
          <cell r="CQ3" t="str">
            <v>Maracanau I</v>
          </cell>
          <cell r="CR3" t="str">
            <v>Termonordeste</v>
          </cell>
          <cell r="CS3" t="str">
            <v>Campina Grande</v>
          </cell>
          <cell r="CT3" t="str">
            <v>TermoParaiba</v>
          </cell>
          <cell r="CU3" t="str">
            <v>Viana</v>
          </cell>
          <cell r="CV3" t="str">
            <v>Palmeiras de Goiás</v>
          </cell>
          <cell r="CW3" t="str">
            <v>Manauara</v>
          </cell>
          <cell r="CX3" t="str">
            <v>Cristiano Rocha</v>
          </cell>
          <cell r="CY3" t="str">
            <v>Pernambuco III</v>
          </cell>
          <cell r="CZ3" t="str">
            <v>Santarém</v>
          </cell>
        </row>
      </sheetData>
      <sheetData sheetId="6"/>
      <sheetData sheetId="7">
        <row r="2">
          <cell r="B2">
            <v>42101</v>
          </cell>
        </row>
      </sheetData>
      <sheetData sheetId="8" refreshError="1"/>
      <sheetData sheetId="9"/>
      <sheetData sheetId="10" refreshError="1"/>
      <sheetData sheetId="11" refreshError="1"/>
      <sheetData sheetId="12"/>
      <sheetData sheetId="1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TEM 2"/>
      <sheetName val="ITENS 3 a 12"/>
      <sheetName val="ITENS 13 a 20)"/>
      <sheetName val="ITENS 21 a 30"/>
      <sheetName val="ITEM 31"/>
      <sheetName val="ITEM 32"/>
      <sheetName val="ITEM 33"/>
    </sheetNames>
    <sheetDataSet>
      <sheetData sheetId="0">
        <row r="10">
          <cell r="E10">
            <v>70</v>
          </cell>
        </row>
        <row r="12">
          <cell r="E12">
            <v>0</v>
          </cell>
        </row>
      </sheetData>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çamento Global"/>
      <sheetName val="Elétrica"/>
      <sheetName val="Hidrossanitário"/>
      <sheetName val="Orçamento_Global"/>
      <sheetName val="2-valores de hh"/>
      <sheetName val="1-Resumo"/>
      <sheetName val="5-Serviço por função"/>
    </sheetNames>
    <sheetDataSet>
      <sheetData sheetId="0" refreshError="1">
        <row r="38">
          <cell r="D38">
            <v>0.2</v>
          </cell>
        </row>
      </sheetData>
      <sheetData sheetId="1"/>
      <sheetData sheetId="2"/>
      <sheetData sheetId="3" refreshError="1"/>
      <sheetData sheetId="4"/>
      <sheetData sheetId="5"/>
      <sheetData sheetId="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EAP"/>
      <sheetName val="02-Banco de Dados"/>
    </sheetNames>
    <sheetDataSet>
      <sheetData sheetId="0">
        <row r="13">
          <cell r="J13">
            <v>1350.16</v>
          </cell>
        </row>
        <row r="30">
          <cell r="J30">
            <v>1189.9100000000001</v>
          </cell>
        </row>
        <row r="39">
          <cell r="J39">
            <v>11246.3</v>
          </cell>
        </row>
      </sheetData>
      <sheetData sheetId="1"/>
      <sheetData sheetId="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ÁLCULO"/>
      <sheetName val="DISTRIBUIÇÃO"/>
    </sheetNames>
    <sheetDataSet>
      <sheetData sheetId="0">
        <row r="5">
          <cell r="D5">
            <v>24</v>
          </cell>
        </row>
      </sheetData>
      <sheetData sheetId="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AP FISICA SS-01 a SS-11"/>
      <sheetName val="Curva Física "/>
      <sheetName val="Curva Financeiro"/>
      <sheetName val="Resumo"/>
      <sheetName val="Planilha1"/>
      <sheetName val="Base dados"/>
      <sheetName val="EAP Macro SS01-11"/>
      <sheetName val="Plan1"/>
    </sheetNames>
    <sheetDataSet>
      <sheetData sheetId="0"/>
      <sheetData sheetId="1">
        <row r="19">
          <cell r="D19">
            <v>44109</v>
          </cell>
        </row>
      </sheetData>
      <sheetData sheetId="2"/>
      <sheetData sheetId="3"/>
      <sheetData sheetId="4"/>
      <sheetData sheetId="5"/>
      <sheetData sheetId="6"/>
      <sheetData sheetId="7">
        <row r="1">
          <cell r="AK1">
            <v>4</v>
          </cell>
        </row>
        <row r="2">
          <cell r="AK2">
            <v>4</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fp"/>
      <sheetName val="Fatores"/>
      <sheetName val="TB-MDO"/>
      <sheetName val="mês"/>
      <sheetName val="hora extra"/>
      <sheetName val="Pesq&amp;Catho"/>
    </sheetNames>
    <sheetDataSet>
      <sheetData sheetId="0" refreshError="1"/>
      <sheetData sheetId="1" refreshError="1"/>
      <sheetData sheetId="2"/>
      <sheetData sheetId="3" refreshError="1"/>
      <sheetData sheetId="4" refreshError="1"/>
      <sheetData sheetId="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ário" refreshedDate="46085.720068055554" createdVersion="7" refreshedVersion="7" minRefreshableVersion="3" recordCount="73" xr:uid="{50BFC142-51FA-4A82-9896-5C5C8A3F0B8F}">
  <cacheSource type="worksheet">
    <worksheetSource ref="A4:N77" sheet="CGO"/>
  </cacheSource>
  <cacheFields count="14">
    <cacheField name="ID" numFmtId="0">
      <sharedItems containsMixedTypes="1" containsNumber="1" containsInteger="1" minValue="1" maxValue="3"/>
    </cacheField>
    <cacheField name="TIPO" numFmtId="0">
      <sharedItems count="4">
        <s v="-"/>
        <s v="RECEITA"/>
        <s v="CUSTOS"/>
        <s v="RESULTADO"/>
      </sharedItems>
    </cacheField>
    <cacheField name="DESCRIÇÃO DO TIPO" numFmtId="0">
      <sharedItems count="16">
        <s v="-"/>
        <s v="RECEITA - PREVISÃO"/>
        <s v="RECEITA - PREVISÃO ACUMULADA"/>
        <s v="RECEITA - BRUTA TOTAL"/>
        <s v="RECEITA - BRUTA TOTAL ACUM"/>
        <s v="RECEITA - LÍQUIDA"/>
        <s v="RECEITA - LÍQUIDA ACUM"/>
        <s v="CUSTOS - TOTAIS"/>
        <s v="CUSTOS - EQUIPE E CANTEIRO"/>
        <s v="CUSTOS - MATERIAIS E FERR"/>
        <s v="CUSTOS - SUBCONTRATAÇÕES"/>
        <s v="CUSTOS - ALUGUEL DE EQUIP"/>
        <s v="CUSTOS - FORNEC ESPECIAIS"/>
        <s v="CUSTOS - ACUMULADOS"/>
        <s v="RESULTADO"/>
        <s v="RESULTADO ACUMULADO"/>
      </sharedItems>
    </cacheField>
    <cacheField name="DESCRIÇÃO" numFmtId="0">
      <sharedItems count="77">
        <s v="RECEITAS"/>
        <s v="RECEITA - PREVISÃO"/>
        <s v="RECEITA - PREVISÃO ACUMULADA"/>
        <s v="RECEITA - BRUTA TOTAL"/>
        <s v="RECEITA - BRUTA TOTAL ACUMULADA"/>
        <s v="RETENÇÕES (PIS, COFINS, ISS)"/>
        <s v="RETENÇÕES (CONTRATUAL)"/>
        <s v="RECEITA - LÍQUIDA"/>
        <s v="RECEITA - LÍQUIDA ACUM"/>
        <s v="CUSTOS - TOTAIS"/>
        <s v="CUSTOS - EQUIPE E CANTEIRO DE OBRAS"/>
        <s v="MÃO DE OBRA - FOPAG"/>
        <s v="ENCARGOS"/>
        <s v="SALÁRIOS ORDENADOS"/>
        <s v="RESCISÕES TRABALHISTAS "/>
        <s v="13° SALÁRIO/FÉRIAS/CESTAS"/>
        <s v="CONTRIBUIÇÃO SINDICAL"/>
        <s v="CREA / ART"/>
        <s v="CAIXINHA"/>
        <s v="VALE ALIMENTAÇÃO / ALIMENTAÇÃO"/>
        <s v="TRANSPORTE / VT"/>
        <s v="PLANO DE SAÚDE / ODONTOLOGICO"/>
        <s v="SEGURO DE VIDA"/>
        <s v="PLR"/>
        <s v="EXAMES MÉDICOS E DOCUMENTOS "/>
        <s v="EPIS / UNIFORMES / TREINAMENTOS"/>
        <s v="MANUTENÇÃO DO CANTEIRO"/>
        <s v="MATERIAL DE ESCRITÓRIO "/>
        <s v="MÓVEIS E EQUIPAMENTOS DE ESCRITÓRIO "/>
        <s v="ALUGUEL DE VEÍCULOS LEVES "/>
        <s v="COMBUSTÍVEL "/>
        <s v="ESTACIONAMENTO E PEDÁGIO"/>
        <s v="ALUGUEL DE CONTAINER "/>
        <s v="ALUGUEL DE SALAS / HOSPEDAGEM / ALOJAMENTO"/>
        <s v="CONTAS DE LUZ / TELEFONE / ÁGUA / ENERGIA / CONDOMÍNIO"/>
        <s v="FRETES E CARRETOS "/>
        <s v="CUSTOS - MATERIAIS E FERRAMENTAS"/>
        <s v="MATERIAL DE CONSUMO "/>
        <s v="MATERIAIS DE MECÂNICA "/>
        <s v="MATERIAIS DE ELÉTRICA "/>
        <s v="MATERIAIS DE CIVIL "/>
        <s v="MATERIAIS DE PINTURA "/>
        <s v="MATERIAIS DE IMPERMEABILIZAÇÃO / ESPECIAL"/>
        <s v="HVAC / SDAI / ACUSTICA / VISUAL"/>
        <s v="FERRAMENTAL "/>
        <s v="CUSTOS - SUBCONTRATAÇÕES"/>
        <s v="SUBCONTRATAÇÃO PROJETO / DOCUMENTOS"/>
        <s v="SUBCONTRATAÇÃO DESCARTE DE RESIDUO"/>
        <s v="SUBCONTRATAÇÃO CIVIL"/>
        <s v="SUBCONTRATAÇÃO MECÂNICA / ESTRUTURA METÁLICA"/>
        <s v="SUBCONTRATAÇÃO PINTURA / ISOLAMENTO"/>
        <s v="SUBCONTRATAÇÃO ANDAIMES"/>
        <s v="SUBCONTRATAÇÃO CONTROLE DA QUALIDADE"/>
        <s v="CUSTOS - ALUGUEL DE EQUIPAMENTOS"/>
        <s v="ALUGUEL CAMINHÃO MUNCK"/>
        <s v="ALUGUEL GUINDASTES "/>
        <s v="ALUGUEL PTA"/>
        <s v="ALUGUEL RETROESCAVADEIRA / CAÇAMBA"/>
        <s v="ALUGUEL ANDAIMES "/>
        <s v="ALUGUEL DE FERRAMENTAS"/>
        <s v="ALUGUEL ALPINISMO"/>
        <s v="ALUGUEL OUTROS EQUIPAMENTOS"/>
        <s v="CUSTOS - FORNECIMENTOS ESPECIAIS"/>
        <s v="FORNECIMENTO EQUIPAMENTO MECÂNICO "/>
        <s v="FORNECIMENTO EQUIPAMENTO ELÉTRICO "/>
        <s v="FORNECIMENTO EQUIPAMENTO DE HVAC"/>
        <s v="COMPUTADORES E EQUIPAMENTOS DE TI"/>
        <s v="FORNECIMENTO ANDAIMES "/>
        <s v="CUSTOS - ACUMULADOS"/>
        <s v="RESULTADOS"/>
        <s v="RETENÇÃO CONTRATUAL"/>
        <s v="RESULTADO"/>
        <s v="RESULTADO ACUMULADO"/>
        <s v="VALE ALIMENTAÇÃO" u="1"/>
        <s v="PLANO DE SAÚDE" u="1"/>
        <s v="TRANSPORTE" u="1"/>
        <s v="13° SALÁRIO/FÉRIAS" u="1"/>
      </sharedItems>
    </cacheField>
    <cacheField name="set/25" numFmtId="0">
      <sharedItems containsString="0" containsBlank="1" containsNumber="1" minValue="0" maxValue="2682441.8640861488"/>
    </cacheField>
    <cacheField name="out/25" numFmtId="0">
      <sharedItems containsString="0" containsBlank="1" containsNumber="1" minValue="103.03" maxValue="6187271.9591545826"/>
    </cacheField>
    <cacheField name="nov/25" numFmtId="0">
      <sharedItems containsString="0" containsBlank="1" containsNumber="1" minValue="0" maxValue="11723594.294222847"/>
    </cacheField>
    <cacheField name="dez/25" numFmtId="0">
      <sharedItems containsString="0" containsBlank="1" containsNumber="1" minValue="0" maxValue="15103334.066989539"/>
    </cacheField>
    <cacheField name="jan/26" numFmtId="0">
      <sharedItems containsString="0" containsBlank="1" containsNumber="1" minValue="0" maxValue="18666698.814646754"/>
    </cacheField>
    <cacheField name="fev/26" numFmtId="0">
      <sharedItems containsString="0" containsBlank="1" containsNumber="1" minValue="-301330.68311680527" maxValue="21349739.737012953"/>
    </cacheField>
    <cacheField name="mar/26" numFmtId="0">
      <sharedItems containsString="0" containsBlank="1" containsNumber="1" minValue="0" maxValue="24429717.823817354"/>
    </cacheField>
    <cacheField name="abr/26" numFmtId="0">
      <sharedItems containsString="0" containsBlank="1" containsNumber="1" minValue="0" maxValue="26906718.816159554"/>
    </cacheField>
    <cacheField name="mai/26" numFmtId="0">
      <sharedItems containsString="0" containsBlank="1" containsNumber="1" minValue="-1127785.2253980811" maxValue="29312910.035344154"/>
    </cacheField>
    <cacheField name="PREMISSAS / OBS." numFmtId="0">
      <sharedItems containsString="0" containsBlank="1" containsNumber="1" minValue="3.8300000000000001E-2" maxValue="0.85"/>
    </cacheField>
  </cacheFields>
  <extLst>
    <ext xmlns:x14="http://schemas.microsoft.com/office/spreadsheetml/2009/9/main" uri="{725AE2AE-9491-48be-B2B4-4EB974FC3084}">
      <x14:pivotCacheDefinition pivotCacheId="7710272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
  <r>
    <n v="1"/>
    <x v="0"/>
    <x v="0"/>
    <x v="0"/>
    <m/>
    <m/>
    <m/>
    <m/>
    <m/>
    <m/>
    <m/>
    <m/>
    <m/>
    <m/>
  </r>
  <r>
    <s v="1.1"/>
    <x v="1"/>
    <x v="1"/>
    <x v="1"/>
    <n v="2682441.8640861488"/>
    <n v="3504830.0950684338"/>
    <n v="5536322.335068264"/>
    <n v="3379739.772766693"/>
    <n v="3563364.7476572138"/>
    <n v="2683040.9223662"/>
    <n v="3079978.0868043997"/>
    <n v="2477000.9923422001"/>
    <n v="2406191.2191845998"/>
    <m/>
  </r>
  <r>
    <s v="1.2"/>
    <x v="1"/>
    <x v="2"/>
    <x v="2"/>
    <n v="2682441.8640861488"/>
    <n v="6187271.9591545826"/>
    <n v="11723594.294222847"/>
    <n v="15103334.066989539"/>
    <n v="18666698.814646754"/>
    <n v="21349739.737012953"/>
    <n v="24429717.823817354"/>
    <n v="26906718.816159554"/>
    <n v="29312910.035344154"/>
    <m/>
  </r>
  <r>
    <s v="1.3"/>
    <x v="1"/>
    <x v="3"/>
    <x v="3"/>
    <n v="2682398.1800000002"/>
    <n v="3504771.3"/>
    <n v="4819988.1303637233"/>
    <n v="3858000.8059420362"/>
    <n v="3172783.1449003131"/>
    <n v="2208432.1647103997"/>
    <n v="3365394.4477781998"/>
    <n v="2301390.7259525997"/>
    <n v="2116461.8482776"/>
    <m/>
  </r>
  <r>
    <s v="1.4"/>
    <x v="1"/>
    <x v="4"/>
    <x v="4"/>
    <n v="2682398.1800000002"/>
    <n v="6187169.4800000004"/>
    <n v="11007157.610363724"/>
    <n v="14865158.41630576"/>
    <n v="18037941.561206073"/>
    <n v="20246373.725916471"/>
    <n v="23611768.17369467"/>
    <n v="25913158.899647269"/>
    <n v="28029620.747924868"/>
    <m/>
  </r>
  <r>
    <s v="1.5"/>
    <x v="0"/>
    <x v="0"/>
    <x v="5"/>
    <n v="682670.33681000001"/>
    <n v="891964.29584999999"/>
    <n v="1226686.9791775676"/>
    <n v="981861.20511224819"/>
    <n v="807473.3103771297"/>
    <n v="562045.98591879674"/>
    <n v="856492.88695955183"/>
    <n v="585703.93975493661"/>
    <n v="538639.5403866492"/>
    <m/>
  </r>
  <r>
    <s v="1.6"/>
    <x v="0"/>
    <x v="0"/>
    <x v="6"/>
    <n v="102735.850294"/>
    <n v="134232.74078999998"/>
    <n v="184605.54539293059"/>
    <n v="147761.43086758"/>
    <n v="121517.594449682"/>
    <n v="84582.951908408315"/>
    <n v="128894.60734990505"/>
    <n v="88143.264803984566"/>
    <n v="81060.488789032082"/>
    <m/>
  </r>
  <r>
    <s v="1.7"/>
    <x v="1"/>
    <x v="5"/>
    <x v="7"/>
    <n v="1896991.9928960002"/>
    <n v="2478574.2633599997"/>
    <n v="3408695.6057932251"/>
    <n v="2728378.1699622078"/>
    <n v="2243792.2400735011"/>
    <n v="1561803.2268831949"/>
    <n v="2380006.9534687428"/>
    <n v="1627543.5213936784"/>
    <n v="1496761.8191019187"/>
    <m/>
  </r>
  <r>
    <s v="1.8"/>
    <x v="1"/>
    <x v="6"/>
    <x v="8"/>
    <n v="1896991.9928960002"/>
    <n v="4375566.2562560001"/>
    <n v="7784261.8620492257"/>
    <n v="10512640.032011434"/>
    <n v="12756432.272084936"/>
    <n v="14318235.498968132"/>
    <n v="16698242.452436876"/>
    <n v="18325785.973830555"/>
    <n v="19822547.792932473"/>
    <m/>
  </r>
  <r>
    <n v="2"/>
    <x v="2"/>
    <x v="7"/>
    <x v="9"/>
    <n v="309406.46749999997"/>
    <n v="336036.37700000004"/>
    <n v="2260758.4300000002"/>
    <n v="2363397.0499999998"/>
    <n v="2116954"/>
    <n v="1863133.9100000001"/>
    <n v="1908440.83"/>
    <n v="1364688.7910000002"/>
    <n v="2624547.0444999998"/>
    <m/>
  </r>
  <r>
    <s v="2.1"/>
    <x v="2"/>
    <x v="8"/>
    <x v="10"/>
    <n v="293831.86749999999"/>
    <n v="314766.10700000002"/>
    <n v="932779.57"/>
    <n v="846104.69000000006"/>
    <n v="858568.00000000012"/>
    <n v="857653.26000000013"/>
    <n v="857657.26000000013"/>
    <n v="578020.87100000004"/>
    <n v="846710.62450000003"/>
    <m/>
  </r>
  <r>
    <s v="2.1.1"/>
    <x v="0"/>
    <x v="0"/>
    <x v="11"/>
    <n v="126749.35"/>
    <n v="99224.02"/>
    <n v="371896.86"/>
    <n v="349680.87"/>
    <n v="348387.75"/>
    <n v="348387.75"/>
    <n v="348387.75"/>
    <n v="131750.70000000001"/>
    <n v="258850.77000000002"/>
    <m/>
  </r>
  <r>
    <s v="2.1.2"/>
    <x v="0"/>
    <x v="0"/>
    <x v="12"/>
    <n v="107736.94750000001"/>
    <n v="84340.417000000001"/>
    <n v="174713.38"/>
    <n v="174713.38"/>
    <n v="174713.38"/>
    <n v="174713.38"/>
    <n v="174713.38"/>
    <n v="164997.65100000001"/>
    <n v="220023.1545"/>
    <n v="0.85"/>
  </r>
  <r>
    <s v="2.1.3"/>
    <x v="0"/>
    <x v="0"/>
    <x v="13"/>
    <n v="7496.77"/>
    <m/>
    <n v="30577.5"/>
    <n v="30577.5"/>
    <n v="30577.5"/>
    <n v="30578.5"/>
    <n v="30579.5"/>
    <n v="35124.869999999995"/>
    <n v="33000"/>
    <m/>
  </r>
  <r>
    <s v="2.1.4"/>
    <x v="0"/>
    <x v="0"/>
    <x v="14"/>
    <m/>
    <m/>
    <m/>
    <m/>
    <n v="27814.53"/>
    <n v="27814.53"/>
    <n v="27814.53"/>
    <m/>
    <m/>
    <m/>
  </r>
  <r>
    <s v="2.1.5"/>
    <x v="0"/>
    <x v="0"/>
    <x v="15"/>
    <m/>
    <m/>
    <n v="93580.68"/>
    <n v="16417.5"/>
    <n v="2968.5"/>
    <n v="2969.5"/>
    <n v="2970.5"/>
    <m/>
    <m/>
    <m/>
  </r>
  <r>
    <s v="2.1.6"/>
    <x v="0"/>
    <x v="0"/>
    <x v="16"/>
    <m/>
    <n v="2234.4"/>
    <n v="3213.78"/>
    <n v="4207.43"/>
    <n v="4260.5599999999995"/>
    <n v="4260.5599999999995"/>
    <n v="4260.5599999999995"/>
    <n v="4260.5599999999995"/>
    <n v="4260.5599999999995"/>
    <m/>
  </r>
  <r>
    <s v="2.1.7"/>
    <x v="0"/>
    <x v="0"/>
    <x v="17"/>
    <m/>
    <n v="103.03"/>
    <m/>
    <n v="103.03"/>
    <n v="103.03"/>
    <n v="103.03"/>
    <n v="103.03"/>
    <m/>
    <m/>
    <m/>
  </r>
  <r>
    <s v="2.1.8"/>
    <x v="0"/>
    <x v="0"/>
    <x v="18"/>
    <n v="5000"/>
    <n v="13589.98"/>
    <n v="6000"/>
    <n v="10185"/>
    <n v="10185"/>
    <n v="10185"/>
    <n v="10185"/>
    <n v="6000"/>
    <n v="6000"/>
    <m/>
  </r>
  <r>
    <s v="2.1.9"/>
    <x v="0"/>
    <x v="0"/>
    <x v="19"/>
    <n v="348.79999999999995"/>
    <n v="86581.68"/>
    <n v="101248.03"/>
    <n v="102372.88"/>
    <n v="85059.64"/>
    <n v="85059.64"/>
    <n v="85059.64"/>
    <n v="104454.88"/>
    <n v="104454.88"/>
    <m/>
  </r>
  <r>
    <s v="2.1.10"/>
    <x v="0"/>
    <x v="0"/>
    <x v="20"/>
    <m/>
    <n v="3410.4"/>
    <n v="49281.7"/>
    <n v="23000"/>
    <n v="25713.200000000001"/>
    <n v="25713.200000000001"/>
    <n v="25713.200000000001"/>
    <n v="33049.270000000004"/>
    <n v="49969.2"/>
    <m/>
  </r>
  <r>
    <s v="2.1.11"/>
    <x v="0"/>
    <x v="0"/>
    <x v="21"/>
    <m/>
    <n v="3018.96"/>
    <n v="29155.5"/>
    <n v="32334.839999999997"/>
    <n v="40486.53"/>
    <n v="40486.53"/>
    <n v="40486.53"/>
    <n v="3018.96"/>
    <n v="12087.84"/>
    <m/>
  </r>
  <r>
    <s v="2.1.12"/>
    <x v="0"/>
    <x v="0"/>
    <x v="22"/>
    <m/>
    <n v="464.12"/>
    <n v="1177.28"/>
    <n v="973.52"/>
    <n v="973.52"/>
    <n v="973.52"/>
    <n v="973.52"/>
    <n v="973.52"/>
    <n v="973.52"/>
    <m/>
  </r>
  <r>
    <s v="2.1.13"/>
    <x v="0"/>
    <x v="0"/>
    <x v="23"/>
    <m/>
    <m/>
    <m/>
    <m/>
    <m/>
    <m/>
    <m/>
    <m/>
    <m/>
    <m/>
  </r>
  <r>
    <s v="2.1.14"/>
    <x v="0"/>
    <x v="0"/>
    <x v="24"/>
    <n v="1500"/>
    <n v="13026.55"/>
    <n v="8355.48"/>
    <n v="10850.41"/>
    <n v="331.5"/>
    <n v="7843.98"/>
    <n v="7843.98"/>
    <n v="7843.98"/>
    <n v="10202.43"/>
    <m/>
  </r>
  <r>
    <s v="2.1.15"/>
    <x v="0"/>
    <x v="0"/>
    <x v="25"/>
    <n v="45000"/>
    <m/>
    <n v="19561.090000000004"/>
    <n v="9090.5"/>
    <n v="26410.95"/>
    <n v="35131.050000000003"/>
    <n v="35131.050000000003"/>
    <n v="20481.900000000001"/>
    <n v="41446.94"/>
    <m/>
  </r>
  <r>
    <s v="2.1.16"/>
    <x v="0"/>
    <x v="0"/>
    <x v="26"/>
    <m/>
    <n v="1550"/>
    <n v="410"/>
    <n v="230"/>
    <n v="410"/>
    <n v="371.7"/>
    <n v="371.7"/>
    <n v="410"/>
    <n v="650"/>
    <m/>
  </r>
  <r>
    <s v="2.1.17"/>
    <x v="0"/>
    <x v="0"/>
    <x v="27"/>
    <m/>
    <n v="1728.35"/>
    <n v="962.5"/>
    <n v="4131.1399999999994"/>
    <n v="405"/>
    <n v="1229.81"/>
    <n v="1229.81"/>
    <n v="1000"/>
    <n v="3270.2599999999998"/>
    <m/>
  </r>
  <r>
    <s v="2.1.18"/>
    <x v="0"/>
    <x v="0"/>
    <x v="28"/>
    <m/>
    <m/>
    <m/>
    <n v="5000"/>
    <n v="1535.4"/>
    <n v="5000"/>
    <n v="5001"/>
    <n v="5000"/>
    <n v="5000"/>
    <m/>
  </r>
  <r>
    <s v="2.1.19"/>
    <x v="0"/>
    <x v="0"/>
    <x v="29"/>
    <m/>
    <n v="3607.05"/>
    <n v="15581.3"/>
    <n v="13089.48"/>
    <n v="26038.98"/>
    <n v="26038.98"/>
    <n v="26038.98"/>
    <n v="26038.98"/>
    <n v="26038.98"/>
    <m/>
  </r>
  <r>
    <s v="2.1.20"/>
    <x v="0"/>
    <x v="0"/>
    <x v="30"/>
    <m/>
    <n v="1887.1499999999999"/>
    <n v="13697.489999999998"/>
    <n v="18406.14"/>
    <n v="17950.63"/>
    <n v="11236.599999999999"/>
    <n v="11236.599999999999"/>
    <n v="3076.26"/>
    <n v="18861.11"/>
    <m/>
  </r>
  <r>
    <s v="2.1.21"/>
    <x v="0"/>
    <x v="0"/>
    <x v="31"/>
    <m/>
    <m/>
    <m/>
    <n v="522.4"/>
    <n v="522.4"/>
    <n v="522.4"/>
    <n v="522.4"/>
    <n v="522.4"/>
    <n v="522.4"/>
    <m/>
  </r>
  <r>
    <s v="2.1.22"/>
    <x v="0"/>
    <x v="0"/>
    <x v="32"/>
    <m/>
    <m/>
    <n v="8800"/>
    <n v="12121.73"/>
    <n v="12000"/>
    <n v="12000"/>
    <n v="12000"/>
    <n v="12000"/>
    <n v="12000"/>
    <m/>
  </r>
  <r>
    <s v="2.1.23"/>
    <x v="0"/>
    <x v="0"/>
    <x v="33"/>
    <m/>
    <m/>
    <n v="4567"/>
    <n v="6000"/>
    <m/>
    <n v="5780.16"/>
    <n v="5780.16"/>
    <n v="6000"/>
    <n v="6000"/>
    <m/>
  </r>
  <r>
    <s v="2.1.24"/>
    <x v="0"/>
    <x v="0"/>
    <x v="34"/>
    <m/>
    <m/>
    <m/>
    <n v="496.94"/>
    <n v="230"/>
    <n v="496.94"/>
    <n v="497.94"/>
    <n v="496.94"/>
    <n v="1578.58"/>
    <m/>
  </r>
  <r>
    <s v="2.1.25"/>
    <x v="0"/>
    <x v="0"/>
    <x v="35"/>
    <m/>
    <m/>
    <m/>
    <n v="21600"/>
    <n v="21490"/>
    <n v="756.5"/>
    <n v="756.5"/>
    <n v="11520"/>
    <n v="31520"/>
    <m/>
  </r>
  <r>
    <s v="2.2"/>
    <x v="2"/>
    <x v="9"/>
    <x v="36"/>
    <n v="0"/>
    <n v="2118.21"/>
    <n v="294229.71999999997"/>
    <n v="563111.36999999988"/>
    <n v="625726.35"/>
    <n v="387989.16"/>
    <n v="433154.58"/>
    <n v="333154.58"/>
    <n v="481208.52999999997"/>
    <m/>
  </r>
  <r>
    <s v="2.2.1"/>
    <x v="0"/>
    <x v="0"/>
    <x v="37"/>
    <m/>
    <n v="2118.21"/>
    <n v="13902.710000000001"/>
    <n v="5511.15"/>
    <n v="19108.170000000002"/>
    <n v="1270.8899999999999"/>
    <n v="12383.33"/>
    <n v="12383.33"/>
    <n v="45467.94"/>
    <m/>
  </r>
  <r>
    <s v="2.2.2"/>
    <x v="0"/>
    <x v="0"/>
    <x v="38"/>
    <m/>
    <m/>
    <n v="253673.72"/>
    <n v="212309.55"/>
    <n v="255105.63"/>
    <n v="111704.19"/>
    <n v="212793.77000000002"/>
    <n v="112793.77"/>
    <n v="34831.9"/>
    <m/>
  </r>
  <r>
    <s v="2.2.3"/>
    <x v="0"/>
    <x v="0"/>
    <x v="39"/>
    <m/>
    <m/>
    <n v="20325.29"/>
    <n v="48415.33"/>
    <n v="200523.05000000002"/>
    <n v="51227.409999999996"/>
    <n v="3276"/>
    <n v="3276"/>
    <n v="18201.689999999999"/>
    <m/>
  </r>
  <r>
    <s v="2.2.4"/>
    <x v="0"/>
    <x v="0"/>
    <x v="40"/>
    <m/>
    <m/>
    <n v="1848"/>
    <n v="21876.07"/>
    <n v="84042.45"/>
    <n v="29800.240000000005"/>
    <n v="6957.4"/>
    <n v="6957.4"/>
    <n v="153512.97"/>
    <m/>
  </r>
  <r>
    <s v="2.2.5"/>
    <x v="0"/>
    <x v="0"/>
    <x v="41"/>
    <m/>
    <m/>
    <m/>
    <n v="2036.29"/>
    <n v="25990.430000000004"/>
    <n v="13308.81"/>
    <n v="2059.88"/>
    <n v="2059.88"/>
    <n v="18240.810000000001"/>
    <m/>
  </r>
  <r>
    <s v="2.2.6"/>
    <x v="0"/>
    <x v="0"/>
    <x v="42"/>
    <m/>
    <m/>
    <m/>
    <m/>
    <m/>
    <n v="144841.04999999999"/>
    <n v="144841.04999999999"/>
    <n v="144841.04999999999"/>
    <n v="144841.04999999999"/>
    <m/>
  </r>
  <r>
    <s v="2.2.7"/>
    <x v="0"/>
    <x v="0"/>
    <x v="43"/>
    <m/>
    <m/>
    <m/>
    <n v="268912.98"/>
    <n v="28550"/>
    <n v="28550"/>
    <n v="28550"/>
    <n v="28550"/>
    <n v="28550"/>
    <m/>
  </r>
  <r>
    <s v="2.2.8"/>
    <x v="0"/>
    <x v="0"/>
    <x v="44"/>
    <m/>
    <m/>
    <n v="4480"/>
    <n v="4050"/>
    <n v="12406.62"/>
    <n v="7286.57"/>
    <n v="22293.149999999998"/>
    <n v="22293.149999999998"/>
    <n v="37562.17"/>
    <m/>
  </r>
  <r>
    <s v="2.3"/>
    <x v="2"/>
    <x v="10"/>
    <x v="45"/>
    <n v="0"/>
    <n v="3000"/>
    <n v="628055.43999999994"/>
    <n v="586935.06999999995"/>
    <n v="202924.25"/>
    <n v="174201"/>
    <n v="174338.5"/>
    <n v="174338.5"/>
    <n v="694987.48"/>
    <m/>
  </r>
  <r>
    <s v="2.3.1"/>
    <x v="0"/>
    <x v="0"/>
    <x v="46"/>
    <m/>
    <n v="3000"/>
    <n v="18000"/>
    <n v="11000"/>
    <m/>
    <n v="14200"/>
    <n v="14337.5"/>
    <n v="14337.5"/>
    <n v="19800"/>
    <m/>
  </r>
  <r>
    <s v="2.3.2"/>
    <x v="0"/>
    <x v="0"/>
    <x v="47"/>
    <m/>
    <m/>
    <n v="648"/>
    <n v="2640"/>
    <n v="6301.71"/>
    <n v="5000"/>
    <n v="5000"/>
    <n v="5000"/>
    <n v="5000"/>
    <m/>
  </r>
  <r>
    <s v="2.3.3"/>
    <x v="0"/>
    <x v="0"/>
    <x v="48"/>
    <m/>
    <m/>
    <m/>
    <n v="268912.98"/>
    <m/>
    <m/>
    <m/>
    <m/>
    <n v="10000"/>
    <m/>
  </r>
  <r>
    <s v="2.3.4"/>
    <x v="0"/>
    <x v="0"/>
    <x v="49"/>
    <m/>
    <m/>
    <n v="554407.43999999994"/>
    <n v="254719.76"/>
    <n v="151129"/>
    <n v="50000"/>
    <n v="50000"/>
    <n v="50000"/>
    <n v="300000"/>
    <m/>
  </r>
  <r>
    <s v="2.3.5"/>
    <x v="0"/>
    <x v="0"/>
    <x v="50"/>
    <m/>
    <m/>
    <m/>
    <m/>
    <n v="44363.5"/>
    <n v="50001"/>
    <n v="50001"/>
    <n v="50001"/>
    <n v="37187.479999999996"/>
    <m/>
  </r>
  <r>
    <s v="2.3.6"/>
    <x v="0"/>
    <x v="0"/>
    <x v="51"/>
    <m/>
    <m/>
    <n v="50000"/>
    <n v="44662.33"/>
    <n v="1130.04"/>
    <n v="50000"/>
    <n v="50000"/>
    <n v="50000"/>
    <n v="320000"/>
    <m/>
  </r>
  <r>
    <s v="2.3.7"/>
    <x v="0"/>
    <x v="0"/>
    <x v="52"/>
    <m/>
    <m/>
    <n v="5000"/>
    <n v="5000"/>
    <m/>
    <n v="5000"/>
    <n v="5000"/>
    <n v="5000"/>
    <n v="3000"/>
    <m/>
  </r>
  <r>
    <s v="2.4"/>
    <x v="2"/>
    <x v="11"/>
    <x v="53"/>
    <n v="1000"/>
    <n v="1577.46"/>
    <n v="391119.10000000003"/>
    <n v="367245.92"/>
    <n v="429735.4"/>
    <n v="443290.49000000005"/>
    <n v="443290.49000000005"/>
    <n v="279174.84000000003"/>
    <n v="601640.41"/>
    <m/>
  </r>
  <r>
    <s v="2.4.1"/>
    <x v="0"/>
    <x v="0"/>
    <x v="54"/>
    <m/>
    <m/>
    <n v="20842.11"/>
    <n v="40357.89"/>
    <n v="45399.37"/>
    <n v="45399.37"/>
    <n v="45399.37"/>
    <n v="36000"/>
    <n v="37650"/>
    <m/>
  </r>
  <r>
    <s v="2.4.2"/>
    <x v="0"/>
    <x v="0"/>
    <x v="55"/>
    <m/>
    <m/>
    <n v="57894.74"/>
    <n v="105263.16"/>
    <n v="117368.42"/>
    <n v="117368.42"/>
    <n v="117368.42"/>
    <n v="50000"/>
    <n v="120000"/>
    <m/>
  </r>
  <r>
    <s v="2.4.3"/>
    <x v="0"/>
    <x v="0"/>
    <x v="56"/>
    <m/>
    <m/>
    <n v="233579.95"/>
    <n v="94000"/>
    <n v="154400"/>
    <n v="154400"/>
    <n v="154400"/>
    <n v="67052.14"/>
    <n v="227052.14"/>
    <m/>
  </r>
  <r>
    <s v="2.4.4"/>
    <x v="0"/>
    <x v="0"/>
    <x v="57"/>
    <m/>
    <m/>
    <m/>
    <m/>
    <m/>
    <m/>
    <m/>
    <m/>
    <m/>
    <m/>
  </r>
  <r>
    <s v="2.4.6"/>
    <x v="0"/>
    <x v="0"/>
    <x v="58"/>
    <m/>
    <m/>
    <n v="44141.39"/>
    <n v="118546.95999999999"/>
    <n v="91973.609999999986"/>
    <n v="55732.7"/>
    <n v="55732.7"/>
    <n v="55732.7"/>
    <n v="147901.94"/>
    <m/>
  </r>
  <r>
    <s v="2.4.7"/>
    <x v="0"/>
    <x v="0"/>
    <x v="59"/>
    <m/>
    <m/>
    <n v="30000"/>
    <m/>
    <m/>
    <n v="30000"/>
    <n v="30000"/>
    <n v="30000"/>
    <n v="30000"/>
    <m/>
  </r>
  <r>
    <s v="2.4.8"/>
    <x v="0"/>
    <x v="0"/>
    <x v="60"/>
    <m/>
    <m/>
    <n v="2800"/>
    <n v="7200"/>
    <n v="7200"/>
    <n v="7200"/>
    <n v="7200"/>
    <n v="7200"/>
    <n v="7200"/>
    <m/>
  </r>
  <r>
    <s v="2.4.9"/>
    <x v="0"/>
    <x v="0"/>
    <x v="61"/>
    <n v="1000"/>
    <n v="1577.46"/>
    <n v="1860.9099999999999"/>
    <n v="1877.9099999999999"/>
    <n v="13394"/>
    <n v="33190"/>
    <n v="33190"/>
    <n v="33190"/>
    <n v="31836.33"/>
    <m/>
  </r>
  <r>
    <s v="2.5"/>
    <x v="2"/>
    <x v="12"/>
    <x v="62"/>
    <n v="14574.6"/>
    <n v="14574.6"/>
    <n v="14574.6"/>
    <n v="0"/>
    <n v="0"/>
    <n v="0"/>
    <n v="0"/>
    <n v="0"/>
    <n v="0"/>
    <m/>
  </r>
  <r>
    <s v="2.5.1"/>
    <x v="0"/>
    <x v="0"/>
    <x v="63"/>
    <m/>
    <m/>
    <m/>
    <m/>
    <m/>
    <m/>
    <m/>
    <m/>
    <m/>
    <m/>
  </r>
  <r>
    <s v="2.5.2"/>
    <x v="0"/>
    <x v="0"/>
    <x v="64"/>
    <m/>
    <m/>
    <m/>
    <m/>
    <m/>
    <m/>
    <m/>
    <m/>
    <m/>
    <m/>
  </r>
  <r>
    <s v="2.5.3"/>
    <x v="0"/>
    <x v="0"/>
    <x v="65"/>
    <m/>
    <m/>
    <m/>
    <m/>
    <m/>
    <m/>
    <m/>
    <m/>
    <m/>
    <m/>
  </r>
  <r>
    <s v="2.5.4"/>
    <x v="0"/>
    <x v="0"/>
    <x v="66"/>
    <n v="14574.6"/>
    <n v="14574.6"/>
    <n v="14574.6"/>
    <m/>
    <m/>
    <m/>
    <m/>
    <m/>
    <m/>
    <m/>
  </r>
  <r>
    <s v="2.5.4"/>
    <x v="0"/>
    <x v="0"/>
    <x v="67"/>
    <m/>
    <m/>
    <n v="0"/>
    <m/>
    <m/>
    <m/>
    <m/>
    <m/>
    <m/>
    <m/>
  </r>
  <r>
    <s v="2.6"/>
    <x v="2"/>
    <x v="13"/>
    <x v="68"/>
    <n v="309406.46749999997"/>
    <n v="645442.84450000001"/>
    <n v="2906201.2745000003"/>
    <n v="5269598.3245000001"/>
    <n v="7386552.3245000001"/>
    <n v="9249686.2345000003"/>
    <n v="11158127.0645"/>
    <n v="12522815.855500001"/>
    <n v="11874233.278999999"/>
    <m/>
  </r>
  <r>
    <n v="3"/>
    <x v="3"/>
    <x v="14"/>
    <x v="69"/>
    <m/>
    <m/>
    <m/>
    <m/>
    <m/>
    <m/>
    <m/>
    <m/>
    <m/>
    <m/>
  </r>
  <r>
    <s v="3.1"/>
    <x v="0"/>
    <x v="14"/>
    <x v="70"/>
    <n v="102735.850294"/>
    <n v="134232.74078999998"/>
    <n v="184605.54539293059"/>
    <n v="147761.43086758"/>
    <n v="121517.594449682"/>
    <n v="84582.951908408315"/>
    <n v="128894.60734990505"/>
    <n v="88143.264803984566"/>
    <n v="81060.488789032082"/>
    <n v="3.8300000000000001E-2"/>
  </r>
  <r>
    <s v="3.2"/>
    <x v="3"/>
    <x v="14"/>
    <x v="71"/>
    <n v="1587585.5253960001"/>
    <n v="2142537.8863599999"/>
    <n v="1147937.1757932249"/>
    <n v="364981.11996220797"/>
    <n v="126838.24007350113"/>
    <n v="-301330.68311680527"/>
    <n v="471566.12346874271"/>
    <n v="262854.73039367818"/>
    <n v="-1127785.2253980811"/>
    <m/>
  </r>
  <r>
    <s v="3.3"/>
    <x v="3"/>
    <x v="15"/>
    <x v="72"/>
    <n v="1587585.5253960001"/>
    <n v="3730123.411756"/>
    <n v="4878060.5875492245"/>
    <n v="5243041.7075114325"/>
    <n v="5369879.9475849336"/>
    <n v="5068549.2644681279"/>
    <n v="5540115.3879368706"/>
    <n v="5802970.1183305485"/>
    <n v="4675184.892932467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20B1987-B11D-4E30-9E7A-6FD0B9757D05}" name="Tabela dinâmica5" cacheId="120" dataOnRows="1" applyNumberFormats="0" applyBorderFormats="0" applyFontFormats="0" applyPatternFormats="0" applyAlignmentFormats="0" applyWidthHeightFormats="1" dataCaption="Valores" updatedVersion="7" minRefreshableVersion="3" itemPrintTitles="1" createdVersion="7" indent="0" outline="1" outlineData="1" multipleFieldFilters="0" chartFormat="7">
  <location ref="A3:Q13" firstHeaderRow="1" firstDataRow="2" firstDataCol="1" rowPageCount="1" colPageCount="1"/>
  <pivotFields count="14">
    <pivotField showAll="0"/>
    <pivotField axis="axisPage" multipleItemSelectionAllowed="1" showAll="0">
      <items count="5">
        <item x="2"/>
        <item x="1"/>
        <item h="1" x="0"/>
        <item x="3"/>
        <item t="default"/>
      </items>
    </pivotField>
    <pivotField axis="axisCol" showAll="0">
      <items count="17">
        <item x="0"/>
        <item x="1"/>
        <item x="3"/>
        <item x="5"/>
        <item x="7"/>
        <item x="8"/>
        <item x="9"/>
        <item x="10"/>
        <item x="11"/>
        <item x="12"/>
        <item x="2"/>
        <item x="4"/>
        <item x="6"/>
        <item x="13"/>
        <item x="14"/>
        <item x="15"/>
        <item t="default"/>
      </items>
    </pivotField>
    <pivotField showAll="0">
      <items count="78">
        <item m="1" x="76"/>
        <item x="60"/>
        <item x="58"/>
        <item x="54"/>
        <item x="32"/>
        <item x="59"/>
        <item x="33"/>
        <item x="29"/>
        <item x="55"/>
        <item x="61"/>
        <item x="56"/>
        <item x="57"/>
        <item x="18"/>
        <item x="30"/>
        <item x="66"/>
        <item x="34"/>
        <item x="16"/>
        <item x="17"/>
        <item x="1"/>
        <item x="3"/>
        <item x="7"/>
        <item x="12"/>
        <item x="25"/>
        <item x="31"/>
        <item x="24"/>
        <item x="44"/>
        <item x="67"/>
        <item x="65"/>
        <item x="64"/>
        <item x="63"/>
        <item x="35"/>
        <item x="43"/>
        <item x="26"/>
        <item x="11"/>
        <item x="40"/>
        <item x="39"/>
        <item x="42"/>
        <item x="38"/>
        <item x="41"/>
        <item x="37"/>
        <item x="27"/>
        <item x="28"/>
        <item m="1" x="74"/>
        <item x="23"/>
        <item x="4"/>
        <item x="0"/>
        <item x="14"/>
        <item x="6"/>
        <item x="5"/>
        <item x="13"/>
        <item x="22"/>
        <item x="51"/>
        <item x="48"/>
        <item x="52"/>
        <item x="47"/>
        <item x="49"/>
        <item x="50"/>
        <item x="46"/>
        <item m="1" x="75"/>
        <item m="1" x="73"/>
        <item x="10"/>
        <item x="36"/>
        <item x="45"/>
        <item x="53"/>
        <item x="62"/>
        <item x="8"/>
        <item x="68"/>
        <item x="9"/>
        <item x="69"/>
        <item x="70"/>
        <item x="71"/>
        <item x="72"/>
        <item x="2"/>
        <item x="19"/>
        <item x="20"/>
        <item x="21"/>
        <item x="15"/>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s>
  <rowFields count="1">
    <field x="-2"/>
  </rowFields>
  <rowItems count="9">
    <i>
      <x/>
    </i>
    <i i="1">
      <x v="1"/>
    </i>
    <i i="2">
      <x v="2"/>
    </i>
    <i i="3">
      <x v="3"/>
    </i>
    <i i="4">
      <x v="4"/>
    </i>
    <i i="5">
      <x v="5"/>
    </i>
    <i i="6">
      <x v="6"/>
    </i>
    <i i="7">
      <x v="7"/>
    </i>
    <i i="8">
      <x v="8"/>
    </i>
  </rowItems>
  <colFields count="1">
    <field x="2"/>
  </colFields>
  <colItems count="16">
    <i>
      <x v="1"/>
    </i>
    <i>
      <x v="2"/>
    </i>
    <i>
      <x v="3"/>
    </i>
    <i>
      <x v="4"/>
    </i>
    <i>
      <x v="5"/>
    </i>
    <i>
      <x v="6"/>
    </i>
    <i>
      <x v="7"/>
    </i>
    <i>
      <x v="8"/>
    </i>
    <i>
      <x v="9"/>
    </i>
    <i>
      <x v="10"/>
    </i>
    <i>
      <x v="11"/>
    </i>
    <i>
      <x v="12"/>
    </i>
    <i>
      <x v="13"/>
    </i>
    <i>
      <x v="14"/>
    </i>
    <i>
      <x v="15"/>
    </i>
    <i t="grand">
      <x/>
    </i>
  </colItems>
  <pageFields count="1">
    <pageField fld="1" hier="-1"/>
  </pageFields>
  <dataFields count="9">
    <dataField name="Set/25 " fld="4" baseField="0" baseItem="0" numFmtId="43"/>
    <dataField name="Out/25 " fld="5" baseField="0" baseItem="0" numFmtId="43"/>
    <dataField name="Nov/25 " fld="6" baseField="0" baseItem="0" numFmtId="43"/>
    <dataField name="Dez/25 " fld="7" baseField="0" baseItem="0" numFmtId="43"/>
    <dataField name="Jan/26 " fld="8" baseField="0" baseItem="0" numFmtId="43"/>
    <dataField name="Fev/26 " fld="9" baseField="0" baseItem="0" numFmtId="43"/>
    <dataField name="Mar/26 " fld="10" baseField="2" baseItem="1" numFmtId="43"/>
    <dataField name="Abr/26 " fld="11" baseField="2" baseItem="11" numFmtId="43"/>
    <dataField name="Mai/26 " fld="12" baseField="2" baseItem="11" numFmtId="43"/>
  </dataFields>
  <formats count="23">
    <format dxfId="70">
      <pivotArea dataOnly="0" outline="0" fieldPosition="0">
        <references count="1">
          <reference field="4294967294" count="6">
            <x v="0"/>
            <x v="1"/>
            <x v="2"/>
            <x v="3"/>
            <x v="4"/>
            <x v="5"/>
          </reference>
        </references>
      </pivotArea>
    </format>
    <format dxfId="71">
      <pivotArea type="all" dataOnly="0" outline="0" fieldPosition="0"/>
    </format>
    <format dxfId="72">
      <pivotArea outline="0" collapsedLevelsAreSubtotals="1" fieldPosition="0"/>
    </format>
    <format dxfId="73">
      <pivotArea type="origin" dataOnly="0" labelOnly="1" outline="0" fieldPosition="0"/>
    </format>
    <format dxfId="74">
      <pivotArea field="3" type="button" dataOnly="0" labelOnly="1" outline="0"/>
    </format>
    <format dxfId="75">
      <pivotArea type="topRight" dataOnly="0" labelOnly="1" outline="0" fieldPosition="0"/>
    </format>
    <format dxfId="76">
      <pivotArea field="-2" type="button" dataOnly="0" labelOnly="1" outline="0" axis="axisRow" fieldPosition="0"/>
    </format>
    <format dxfId="77">
      <pivotArea dataOnly="0" labelOnly="1" outline="0" fieldPosition="0">
        <references count="1">
          <reference field="4294967294" count="6">
            <x v="0"/>
            <x v="1"/>
            <x v="2"/>
            <x v="3"/>
            <x v="4"/>
            <x v="5"/>
          </reference>
        </references>
      </pivotArea>
    </format>
    <format dxfId="78">
      <pivotArea dataOnly="0" labelOnly="1" grandCol="1" outline="0" fieldPosition="0"/>
    </format>
    <format dxfId="79">
      <pivotArea type="all" dataOnly="0" outline="0" fieldPosition="0"/>
    </format>
    <format dxfId="80">
      <pivotArea outline="0" collapsedLevelsAreSubtotals="1" fieldPosition="0"/>
    </format>
    <format dxfId="81">
      <pivotArea type="origin" dataOnly="0" labelOnly="1" outline="0" fieldPosition="0"/>
    </format>
    <format dxfId="82">
      <pivotArea field="3" type="button" dataOnly="0" labelOnly="1" outline="0"/>
    </format>
    <format dxfId="83">
      <pivotArea type="topRight" dataOnly="0" labelOnly="1" outline="0" fieldPosition="0"/>
    </format>
    <format dxfId="84">
      <pivotArea field="-2" type="button" dataOnly="0" labelOnly="1" outline="0" axis="axisRow" fieldPosition="0"/>
    </format>
    <format dxfId="85">
      <pivotArea dataOnly="0" labelOnly="1" outline="0" fieldPosition="0">
        <references count="1">
          <reference field="4294967294" count="6">
            <x v="0"/>
            <x v="1"/>
            <x v="2"/>
            <x v="3"/>
            <x v="4"/>
            <x v="5"/>
          </reference>
        </references>
      </pivotArea>
    </format>
    <format dxfId="86">
      <pivotArea dataOnly="0" labelOnly="1" grandCol="1" outline="0" fieldPosition="0"/>
    </format>
    <format dxfId="87">
      <pivotArea field="-2" type="button" dataOnly="0" labelOnly="1" outline="0" axis="axisRow" fieldPosition="0"/>
    </format>
    <format dxfId="88">
      <pivotArea dataOnly="0" labelOnly="1" fieldPosition="0">
        <references count="1">
          <reference field="2" count="11">
            <x v="1"/>
            <x v="2"/>
            <x v="3"/>
            <x v="4"/>
            <x v="5"/>
            <x v="6"/>
            <x v="7"/>
            <x v="8"/>
            <x v="9"/>
            <x v="12"/>
            <x v="13"/>
          </reference>
        </references>
      </pivotArea>
    </format>
    <format dxfId="89">
      <pivotArea dataOnly="0" labelOnly="1" grandCol="1" outline="0" fieldPosition="0"/>
    </format>
    <format dxfId="90">
      <pivotArea dataOnly="0" labelOnly="1" fieldPosition="0">
        <references count="1">
          <reference field="2" count="1">
            <x v="11"/>
          </reference>
        </references>
      </pivotArea>
    </format>
    <format dxfId="91">
      <pivotArea dataOnly="0" labelOnly="1" fieldPosition="0">
        <references count="1">
          <reference field="2" count="1">
            <x v="10"/>
          </reference>
        </references>
      </pivotArea>
    </format>
    <format dxfId="69">
      <pivotArea type="all" dataOnly="0" outline="0" fieldPosition="0"/>
    </format>
  </formats>
  <chartFormats count="45">
    <chartFormat chart="2" format="258" series="1">
      <pivotArea type="data" outline="0" fieldPosition="0">
        <references count="1">
          <reference field="4294967294" count="1" selected="0">
            <x v="0"/>
          </reference>
        </references>
      </pivotArea>
    </chartFormat>
    <chartFormat chart="2" format="270" series="1">
      <pivotArea type="data" outline="0" fieldPosition="0">
        <references count="2">
          <reference field="4294967294" count="1" selected="0">
            <x v="0"/>
          </reference>
          <reference field="2" count="1" selected="0">
            <x v="13"/>
          </reference>
        </references>
      </pivotArea>
    </chartFormat>
    <chartFormat chart="2" format="271" series="1">
      <pivotArea type="data" outline="0" fieldPosition="0">
        <references count="2">
          <reference field="4294967294" count="1" selected="0">
            <x v="0"/>
          </reference>
          <reference field="2" count="1" selected="0">
            <x v="8"/>
          </reference>
        </references>
      </pivotArea>
    </chartFormat>
    <chartFormat chart="2" format="273" series="1">
      <pivotArea type="data" outline="0" fieldPosition="0">
        <references count="2">
          <reference field="4294967294" count="1" selected="0">
            <x v="0"/>
          </reference>
          <reference field="2" count="1" selected="0">
            <x v="9"/>
          </reference>
        </references>
      </pivotArea>
    </chartFormat>
    <chartFormat chart="2" format="274" series="1">
      <pivotArea type="data" outline="0" fieldPosition="0">
        <references count="2">
          <reference field="4294967294" count="1" selected="0">
            <x v="0"/>
          </reference>
          <reference field="2" count="1" selected="0">
            <x v="6"/>
          </reference>
        </references>
      </pivotArea>
    </chartFormat>
    <chartFormat chart="2" format="275" series="1">
      <pivotArea type="data" outline="0" fieldPosition="0">
        <references count="2">
          <reference field="4294967294" count="1" selected="0">
            <x v="0"/>
          </reference>
          <reference field="2" count="1" selected="0">
            <x v="7"/>
          </reference>
        </references>
      </pivotArea>
    </chartFormat>
    <chartFormat chart="2" format="277" series="1">
      <pivotArea type="data" outline="0" fieldPosition="0">
        <references count="2">
          <reference field="4294967294" count="1" selected="0">
            <x v="0"/>
          </reference>
          <reference field="2" count="1" selected="0">
            <x v="2"/>
          </reference>
        </references>
      </pivotArea>
    </chartFormat>
    <chartFormat chart="2" format="278" series="1">
      <pivotArea type="data" outline="0" fieldPosition="0">
        <references count="2">
          <reference field="4294967294" count="1" selected="0">
            <x v="0"/>
          </reference>
          <reference field="2" count="1" selected="0">
            <x v="3"/>
          </reference>
        </references>
      </pivotArea>
    </chartFormat>
    <chartFormat chart="2" format="279" series="1">
      <pivotArea type="data" outline="0" fieldPosition="0">
        <references count="2">
          <reference field="4294967294" count="1" selected="0">
            <x v="0"/>
          </reference>
          <reference field="2" count="1" selected="0">
            <x v="12"/>
          </reference>
        </references>
      </pivotArea>
    </chartFormat>
    <chartFormat chart="2" format="280" series="1">
      <pivotArea type="data" outline="0" fieldPosition="0">
        <references count="2">
          <reference field="4294967294" count="1" selected="0">
            <x v="0"/>
          </reference>
          <reference field="2" count="1" selected="0">
            <x v="1"/>
          </reference>
        </references>
      </pivotArea>
    </chartFormat>
    <chartFormat chart="2" format="281" series="1">
      <pivotArea type="data" outline="0" fieldPosition="0">
        <references count="2">
          <reference field="4294967294" count="1" selected="0">
            <x v="0"/>
          </reference>
          <reference field="2" count="1" selected="0">
            <x v="4"/>
          </reference>
        </references>
      </pivotArea>
    </chartFormat>
    <chartFormat chart="2" format="282" series="1">
      <pivotArea type="data" outline="0" fieldPosition="0">
        <references count="2">
          <reference field="4294967294" count="1" selected="0">
            <x v="0"/>
          </reference>
          <reference field="2" count="1" selected="0">
            <x v="0"/>
          </reference>
        </references>
      </pivotArea>
    </chartFormat>
    <chartFormat chart="2" format="283" series="1">
      <pivotArea type="data" outline="0" fieldPosition="0">
        <references count="2">
          <reference field="4294967294" count="1" selected="0">
            <x v="0"/>
          </reference>
          <reference field="2" count="1" selected="0">
            <x v="5"/>
          </reference>
        </references>
      </pivotArea>
    </chartFormat>
    <chartFormat chart="2" format="284" series="1">
      <pivotArea type="data" outline="0" fieldPosition="0">
        <references count="2">
          <reference field="4294967294" count="1" selected="0">
            <x v="0"/>
          </reference>
          <reference field="2" count="1" selected="0">
            <x v="11"/>
          </reference>
        </references>
      </pivotArea>
    </chartFormat>
    <chartFormat chart="2" format="285" series="1">
      <pivotArea type="data" outline="0" fieldPosition="0">
        <references count="2">
          <reference field="4294967294" count="1" selected="0">
            <x v="0"/>
          </reference>
          <reference field="2" count="1" selected="0">
            <x v="14"/>
          </reference>
        </references>
      </pivotArea>
    </chartFormat>
    <chartFormat chart="2" format="287" series="1">
      <pivotArea type="data" outline="0" fieldPosition="0">
        <references count="2">
          <reference field="4294967294" count="1" selected="0">
            <x v="0"/>
          </reference>
          <reference field="2" count="1" selected="0">
            <x v="15"/>
          </reference>
        </references>
      </pivotArea>
    </chartFormat>
    <chartFormat chart="5" format="288" series="1">
      <pivotArea type="data" outline="0" fieldPosition="0">
        <references count="2">
          <reference field="4294967294" count="1" selected="0">
            <x v="0"/>
          </reference>
          <reference field="2" count="1" selected="0">
            <x v="1"/>
          </reference>
        </references>
      </pivotArea>
    </chartFormat>
    <chartFormat chart="5" format="289" series="1">
      <pivotArea type="data" outline="0" fieldPosition="0">
        <references count="2">
          <reference field="4294967294" count="1" selected="0">
            <x v="0"/>
          </reference>
          <reference field="2" count="1" selected="0">
            <x v="2"/>
          </reference>
        </references>
      </pivotArea>
    </chartFormat>
    <chartFormat chart="5" format="290" series="1">
      <pivotArea type="data" outline="0" fieldPosition="0">
        <references count="2">
          <reference field="4294967294" count="1" selected="0">
            <x v="0"/>
          </reference>
          <reference field="2" count="1" selected="0">
            <x v="3"/>
          </reference>
        </references>
      </pivotArea>
    </chartFormat>
    <chartFormat chart="5" format="291" series="1">
      <pivotArea type="data" outline="0" fieldPosition="0">
        <references count="2">
          <reference field="4294967294" count="1" selected="0">
            <x v="0"/>
          </reference>
          <reference field="2" count="1" selected="0">
            <x v="4"/>
          </reference>
        </references>
      </pivotArea>
    </chartFormat>
    <chartFormat chart="5" format="292" series="1">
      <pivotArea type="data" outline="0" fieldPosition="0">
        <references count="2">
          <reference field="4294967294" count="1" selected="0">
            <x v="0"/>
          </reference>
          <reference field="2" count="1" selected="0">
            <x v="5"/>
          </reference>
        </references>
      </pivotArea>
    </chartFormat>
    <chartFormat chart="5" format="293" series="1">
      <pivotArea type="data" outline="0" fieldPosition="0">
        <references count="2">
          <reference field="4294967294" count="1" selected="0">
            <x v="0"/>
          </reference>
          <reference field="2" count="1" selected="0">
            <x v="6"/>
          </reference>
        </references>
      </pivotArea>
    </chartFormat>
    <chartFormat chart="5" format="294" series="1">
      <pivotArea type="data" outline="0" fieldPosition="0">
        <references count="2">
          <reference field="4294967294" count="1" selected="0">
            <x v="0"/>
          </reference>
          <reference field="2" count="1" selected="0">
            <x v="7"/>
          </reference>
        </references>
      </pivotArea>
    </chartFormat>
    <chartFormat chart="5" format="295" series="1">
      <pivotArea type="data" outline="0" fieldPosition="0">
        <references count="2">
          <reference field="4294967294" count="1" selected="0">
            <x v="0"/>
          </reference>
          <reference field="2" count="1" selected="0">
            <x v="8"/>
          </reference>
        </references>
      </pivotArea>
    </chartFormat>
    <chartFormat chart="5" format="296" series="1">
      <pivotArea type="data" outline="0" fieldPosition="0">
        <references count="2">
          <reference field="4294967294" count="1" selected="0">
            <x v="0"/>
          </reference>
          <reference field="2" count="1" selected="0">
            <x v="9"/>
          </reference>
        </references>
      </pivotArea>
    </chartFormat>
    <chartFormat chart="5" format="297" series="1">
      <pivotArea type="data" outline="0" fieldPosition="0">
        <references count="2">
          <reference field="4294967294" count="1" selected="0">
            <x v="0"/>
          </reference>
          <reference field="2" count="1" selected="0">
            <x v="11"/>
          </reference>
        </references>
      </pivotArea>
    </chartFormat>
    <chartFormat chart="5" format="298" series="1">
      <pivotArea type="data" outline="0" fieldPosition="0">
        <references count="2">
          <reference field="4294967294" count="1" selected="0">
            <x v="0"/>
          </reference>
          <reference field="2" count="1" selected="0">
            <x v="12"/>
          </reference>
        </references>
      </pivotArea>
    </chartFormat>
    <chartFormat chart="5" format="299" series="1">
      <pivotArea type="data" outline="0" fieldPosition="0">
        <references count="2">
          <reference field="4294967294" count="1" selected="0">
            <x v="0"/>
          </reference>
          <reference field="2" count="1" selected="0">
            <x v="13"/>
          </reference>
        </references>
      </pivotArea>
    </chartFormat>
    <chartFormat chart="5" format="300" series="1">
      <pivotArea type="data" outline="0" fieldPosition="0">
        <references count="2">
          <reference field="4294967294" count="1" selected="0">
            <x v="0"/>
          </reference>
          <reference field="2" count="1" selected="0">
            <x v="14"/>
          </reference>
        </references>
      </pivotArea>
    </chartFormat>
    <chartFormat chart="5" format="301" series="1">
      <pivotArea type="data" outline="0" fieldPosition="0">
        <references count="2">
          <reference field="4294967294" count="1" selected="0">
            <x v="0"/>
          </reference>
          <reference field="2" count="1" selected="0">
            <x v="15"/>
          </reference>
        </references>
      </pivotArea>
    </chartFormat>
    <chartFormat chart="6" format="302" series="1">
      <pivotArea type="data" outline="0" fieldPosition="0">
        <references count="2">
          <reference field="4294967294" count="1" selected="0">
            <x v="0"/>
          </reference>
          <reference field="2" count="1" selected="0">
            <x v="1"/>
          </reference>
        </references>
      </pivotArea>
    </chartFormat>
    <chartFormat chart="6" format="303" series="1">
      <pivotArea type="data" outline="0" fieldPosition="0">
        <references count="2">
          <reference field="4294967294" count="1" selected="0">
            <x v="0"/>
          </reference>
          <reference field="2" count="1" selected="0">
            <x v="2"/>
          </reference>
        </references>
      </pivotArea>
    </chartFormat>
    <chartFormat chart="6" format="304" series="1">
      <pivotArea type="data" outline="0" fieldPosition="0">
        <references count="2">
          <reference field="4294967294" count="1" selected="0">
            <x v="0"/>
          </reference>
          <reference field="2" count="1" selected="0">
            <x v="3"/>
          </reference>
        </references>
      </pivotArea>
    </chartFormat>
    <chartFormat chart="6" format="305" series="1">
      <pivotArea type="data" outline="0" fieldPosition="0">
        <references count="2">
          <reference field="4294967294" count="1" selected="0">
            <x v="0"/>
          </reference>
          <reference field="2" count="1" selected="0">
            <x v="4"/>
          </reference>
        </references>
      </pivotArea>
    </chartFormat>
    <chartFormat chart="6" format="306" series="1">
      <pivotArea type="data" outline="0" fieldPosition="0">
        <references count="2">
          <reference field="4294967294" count="1" selected="0">
            <x v="0"/>
          </reference>
          <reference field="2" count="1" selected="0">
            <x v="5"/>
          </reference>
        </references>
      </pivotArea>
    </chartFormat>
    <chartFormat chart="6" format="307" series="1">
      <pivotArea type="data" outline="0" fieldPosition="0">
        <references count="2">
          <reference field="4294967294" count="1" selected="0">
            <x v="0"/>
          </reference>
          <reference field="2" count="1" selected="0">
            <x v="6"/>
          </reference>
        </references>
      </pivotArea>
    </chartFormat>
    <chartFormat chart="6" format="308" series="1">
      <pivotArea type="data" outline="0" fieldPosition="0">
        <references count="2">
          <reference field="4294967294" count="1" selected="0">
            <x v="0"/>
          </reference>
          <reference field="2" count="1" selected="0">
            <x v="7"/>
          </reference>
        </references>
      </pivotArea>
    </chartFormat>
    <chartFormat chart="6" format="309" series="1">
      <pivotArea type="data" outline="0" fieldPosition="0">
        <references count="2">
          <reference field="4294967294" count="1" selected="0">
            <x v="0"/>
          </reference>
          <reference field="2" count="1" selected="0">
            <x v="8"/>
          </reference>
        </references>
      </pivotArea>
    </chartFormat>
    <chartFormat chart="6" format="310" series="1">
      <pivotArea type="data" outline="0" fieldPosition="0">
        <references count="2">
          <reference field="4294967294" count="1" selected="0">
            <x v="0"/>
          </reference>
          <reference field="2" count="1" selected="0">
            <x v="9"/>
          </reference>
        </references>
      </pivotArea>
    </chartFormat>
    <chartFormat chart="6" format="311" series="1">
      <pivotArea type="data" outline="0" fieldPosition="0">
        <references count="2">
          <reference field="4294967294" count="1" selected="0">
            <x v="0"/>
          </reference>
          <reference field="2" count="1" selected="0">
            <x v="11"/>
          </reference>
        </references>
      </pivotArea>
    </chartFormat>
    <chartFormat chart="6" format="312" series="1">
      <pivotArea type="data" outline="0" fieldPosition="0">
        <references count="2">
          <reference field="4294967294" count="1" selected="0">
            <x v="0"/>
          </reference>
          <reference field="2" count="1" selected="0">
            <x v="12"/>
          </reference>
        </references>
      </pivotArea>
    </chartFormat>
    <chartFormat chart="6" format="313" series="1">
      <pivotArea type="data" outline="0" fieldPosition="0">
        <references count="2">
          <reference field="4294967294" count="1" selected="0">
            <x v="0"/>
          </reference>
          <reference field="2" count="1" selected="0">
            <x v="13"/>
          </reference>
        </references>
      </pivotArea>
    </chartFormat>
    <chartFormat chart="6" format="314" series="1">
      <pivotArea type="data" outline="0" fieldPosition="0">
        <references count="2">
          <reference field="4294967294" count="1" selected="0">
            <x v="0"/>
          </reference>
          <reference field="2" count="1" selected="0">
            <x v="14"/>
          </reference>
        </references>
      </pivotArea>
    </chartFormat>
    <chartFormat chart="6" format="315" series="1">
      <pivotArea type="data" outline="0" fieldPosition="0">
        <references count="2">
          <reference field="4294967294" count="1" selected="0">
            <x v="0"/>
          </reference>
          <reference field="2" count="1" selected="0">
            <x v="15"/>
          </reference>
        </references>
      </pivotArea>
    </chartFormat>
    <chartFormat chart="2" format="288" series="1">
      <pivotArea type="data" outline="0" fieldPosition="0">
        <references count="2">
          <reference field="4294967294" count="1" selected="0">
            <x v="0"/>
          </reference>
          <reference field="2" count="1" selected="0">
            <x v="1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0.png"/></Relationships>
</file>

<file path=xl/richData/richValueRel.xml><?xml version="1.0" encoding="utf-8"?>
<richValueRels xmlns="http://schemas.microsoft.com/office/spreadsheetml/2022/richvaluerel" xmlns:r="http://schemas.openxmlformats.org/officeDocument/2006/relationships">
  <rel r:id="rId1"/>
  <rel r:id="rId2"/>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IPO" xr10:uid="{7C712BB9-90D8-4AAE-892F-DCA846EEAD3A}" sourceName="TIPO">
  <pivotTables>
    <pivotTable tabId="50" name="Tabela dinâmica5"/>
  </pivotTables>
  <data>
    <tabular pivotCacheId="771027208">
      <items count="4">
        <i x="0"/>
        <i x="2" s="1"/>
        <i x="1" s="1"/>
        <i x="3"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DESCRIÇÃO_DO_TIPO" xr10:uid="{05553ED4-82ED-4272-B6E5-EC8F09C58C62}" sourceName="DESCRIÇÃO DO TIPO">
  <pivotTables>
    <pivotTable tabId="50" name="Tabela dinâmica5"/>
  </pivotTables>
  <data>
    <tabular pivotCacheId="771027208">
      <items count="16">
        <i x="13" s="1"/>
        <i x="11" s="1"/>
        <i x="8" s="1"/>
        <i x="12" s="1"/>
        <i x="9" s="1"/>
        <i x="10" s="1"/>
        <i x="7" s="1"/>
        <i x="3" s="1"/>
        <i x="4" s="1"/>
        <i x="5" s="1"/>
        <i x="6" s="1"/>
        <i x="1" s="1"/>
        <i x="2" s="1"/>
        <i x="14" s="1"/>
        <i x="15" s="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OMADOR3" xr10:uid="{287C56DA-2279-49F8-97F6-B02E66484F5E}" sourceName="TOMADOR">
  <extLst>
    <x:ext xmlns:x15="http://schemas.microsoft.com/office/spreadsheetml/2010/11/main" uri="{2F2917AC-EB37-4324-AD4E-5DD8C200BD13}">
      <x15:tableSlicerCache tableId="2" column="3"/>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PO" xr10:uid="{F96D209C-AFEB-4265-BA6F-A95A23C53270}" cache="SegmentaçãodeDados_TIPO" caption="TIPO" style="Estilo de Segmentação de Dados 1 3" lockedPosition="1" rowHeight="162000"/>
  <slicer name="DESCRIÇÃO DO TIPO" xr10:uid="{70087BED-7229-4A55-AB0D-408CF6F6E657}" cache="SegmentaçãodeDados_DESCRIÇÃO_DO_TIPO" caption="DESCRIÇÃO DO TIPO" columnCount="6" style="Estilo de Segmentação de Dados 1 3" lockedPosition="1" rowHeight="16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MADOR 4" xr10:uid="{674EF7F2-D60D-499C-A42B-4684A56C0FA6}" cache="SegmentaçãodeDados_TOMADOR3" caption="TOMADOR" columnCount="3" style="Estilo de Segmentação de Dados 1 3" lockedPosition="1"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F43D91-E589-4BD8-82D2-164FCA2AB9F2}" name="Tb_DISTR.FIN" displayName="Tb_DISTR.FIN" ref="A3:AK36" totalsRowShown="0" headerRowDxfId="1182" dataDxfId="1181" dataCellStyle="Porcentagem">
  <autoFilter ref="A3:AK36" xr:uid="{10CD3B03-2060-4B75-B745-AD9B643E3019}"/>
  <tableColumns count="37">
    <tableColumn id="1" xr3:uid="{FD163166-EB8F-4365-ACCB-C03BD8FC849D}" name="Nº  SS" dataDxfId="1180"/>
    <tableColumn id="2" xr3:uid="{E8FA141D-A19E-49B0-95A4-654DF33A343C}" name="TÍTULO DA SS" dataDxfId="1179"/>
    <tableColumn id="3" xr3:uid="{6989E614-9862-4B56-8D38-E0904684FAE7}" name="TOMADOR" dataDxfId="1178"/>
    <tableColumn id="36" xr3:uid="{E472E408-7C1F-4F2E-9713-EA83A2F7DC04}" name="VALOR" dataDxfId="1177" dataCellStyle="Vírgula"/>
    <tableColumn id="4" xr3:uid="{82994EF6-341C-4127-93F2-99636BE03C6B}" name="%Check" dataDxfId="1176" dataCellStyle="Porcentagem">
      <calculatedColumnFormula>SUM(Tb_DISTR.FIN[[#This Row],[SET.25]:[DEZ.26]])</calculatedColumnFormula>
    </tableColumn>
    <tableColumn id="11" xr3:uid="{B3A04DD2-051A-4648-8871-A61C27261C44}" name="SET.25" dataDxfId="1175" dataCellStyle="Porcentagem"/>
    <tableColumn id="12" xr3:uid="{5AF9F987-2252-4E90-BBF8-E0CFBC7F0CDE}" name="OUT.25" dataDxfId="1174" dataCellStyle="Porcentagem"/>
    <tableColumn id="13" xr3:uid="{EED4DDC9-A310-4C30-BEDD-5C45CFF4ECFA}" name="NOV.25" dataDxfId="1173" dataCellStyle="Porcentagem"/>
    <tableColumn id="14" xr3:uid="{77D01F55-937B-46E2-BD02-F403A22CB899}" name="DEZ.25" dataDxfId="1172" dataCellStyle="Porcentagem"/>
    <tableColumn id="15" xr3:uid="{64032739-3915-44C8-B128-D420D77C3229}" name="JAN.26" dataDxfId="1171" dataCellStyle="Porcentagem"/>
    <tableColumn id="16" xr3:uid="{A696C8E4-531A-44F7-BDF3-972B4F595101}" name="FEV.26" dataDxfId="1170" dataCellStyle="Porcentagem"/>
    <tableColumn id="17" xr3:uid="{A4B07CB9-3F34-4569-B276-388A78A0041F}" name="MAR.26" dataDxfId="1169" dataCellStyle="Porcentagem"/>
    <tableColumn id="18" xr3:uid="{9ED80D28-6617-490F-AAE7-32ABCC65A562}" name="ABR.26" dataDxfId="1168" dataCellStyle="Porcentagem"/>
    <tableColumn id="19" xr3:uid="{F6A52B65-7066-42F8-A838-97B825D20302}" name="MAI.26" dataDxfId="1167" dataCellStyle="Porcentagem"/>
    <tableColumn id="20" xr3:uid="{5F729794-D799-4F3B-9DB1-A43E761A4631}" name="JUN.26" dataDxfId="1166" dataCellStyle="Porcentagem"/>
    <tableColumn id="21" xr3:uid="{49DE0E0A-84B1-4FF2-B915-DC6DA12F5258}" name="JUL.26" dataDxfId="1165" dataCellStyle="Porcentagem"/>
    <tableColumn id="22" xr3:uid="{1731FECC-3E71-4103-935A-0AC6F6DD1830}" name="AGO.26" dataDxfId="1164" dataCellStyle="Porcentagem"/>
    <tableColumn id="23" xr3:uid="{CF065F00-C423-4403-9B59-896E188DD975}" name="SET.26" dataDxfId="1163" dataCellStyle="Porcentagem"/>
    <tableColumn id="24" xr3:uid="{51FA853F-4259-4FBF-9400-230F771D1C83}" name="OUT.26" dataDxfId="1162" dataCellStyle="Porcentagem"/>
    <tableColumn id="25" xr3:uid="{8052CEB1-50D0-415D-952C-6DD79684B271}" name="NOV.26" dataDxfId="1161" dataCellStyle="Porcentagem"/>
    <tableColumn id="26" xr3:uid="{787936E6-348B-4132-B72D-AC2833ADBBC1}" name="DEZ.26" dataDxfId="1160" dataCellStyle="Porcentagem"/>
    <tableColumn id="5" xr3:uid="{970CEF66-35F4-4EB6-B85A-26FF8C5D6B17}" name="Coluna1" dataDxfId="1159" dataCellStyle="Moeda"/>
    <tableColumn id="6" xr3:uid="{BF425373-A89E-4F9E-B805-5B3B80A1E76F}" name="%Check " dataDxfId="1158" dataCellStyle="Porcentagem"/>
    <tableColumn id="7" xr3:uid="{D1DF788F-5D4E-4098-BCCB-9B46A98F0DC1}" name="PLAN" dataDxfId="1144" dataCellStyle="Porcentagem"/>
    <tableColumn id="8" xr3:uid="{FB295215-71DD-40DF-9FB0-27DAF1B62E02}" name="MOB" dataDxfId="1157" dataCellStyle="Porcentagem"/>
    <tableColumn id="9" xr3:uid="{103DAC59-35AE-4EAF-85F6-EAF4C6C83AB7}" name="ETP.01" dataDxfId="1156" dataCellStyle="Porcentagem"/>
    <tableColumn id="10" xr3:uid="{C4A03E1F-5211-434C-823F-AD117127BE2E}" name="ETP.02" dataDxfId="1155" dataCellStyle="Porcentagem"/>
    <tableColumn id="27" xr3:uid="{9FE24D4B-369E-4219-86A4-2C602115B21F}" name="ETP.03" dataDxfId="1154" dataCellStyle="Porcentagem"/>
    <tableColumn id="28" xr3:uid="{70C7CE40-3D16-4966-B3CC-9B39FE47B927}" name="ETP.04" dataDxfId="1153" dataCellStyle="Porcentagem"/>
    <tableColumn id="29" xr3:uid="{A8B9381A-48F4-4232-83A9-360DCF02BC0C}" name="ETP.05" dataDxfId="1152" dataCellStyle="Porcentagem"/>
    <tableColumn id="30" xr3:uid="{9291F043-7D3E-46B1-ADBA-220B10513783}" name="ETP.06" dataDxfId="1151" dataCellStyle="Porcentagem"/>
    <tableColumn id="31" xr3:uid="{1B42D609-1CBE-40A6-9AA9-F06FBF666303}" name="ETP.07" dataDxfId="1150" dataCellStyle="Porcentagem"/>
    <tableColumn id="32" xr3:uid="{ED1F3D9C-01D7-4BC3-9A74-48524BE7C65C}" name="ETP.08" dataDxfId="1149" dataCellStyle="Porcentagem"/>
    <tableColumn id="33" xr3:uid="{4C8934F3-5B9D-42CD-9AAD-DD9970EC7196}" name="ETP.09" dataDxfId="1148" dataCellStyle="Porcentagem"/>
    <tableColumn id="34" xr3:uid="{6014155E-7A26-49D6-B616-4179F8F54FE3}" name="ETP.10" dataDxfId="1147" dataCellStyle="Porcentagem"/>
    <tableColumn id="35" xr3:uid="{C27CF3F8-6EB1-48C8-A422-604CBEBF9D0C}" name="ETP.11" dataDxfId="1146" dataCellStyle="Porcentagem"/>
    <tableColumn id="37" xr3:uid="{E0B9F530-466F-4735-8B10-75710EE8A0C2}" name="ENTR." dataDxfId="1145" dataCellStyle="Porcentagem"/>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245B15-C9B9-4B93-AC9C-ABC2FFD8ED2C}" name="Tb_ClassFIN" displayName="Tb_ClassFIN" ref="A1:R5" totalsRowShown="0" headerRowDxfId="1202" dataDxfId="1201">
  <autoFilter ref="A1:R5" xr:uid="{F7245B15-C9B9-4B93-AC9C-ABC2FFD8ED2C}"/>
  <tableColumns count="18">
    <tableColumn id="1" xr3:uid="{7EB9206A-5DF1-4070-B2FE-915862E2093B}" name="DESCRIÇÃO" dataDxfId="1200"/>
    <tableColumn id="18" xr3:uid="{F6A9279E-6E48-4CD2-8A35-657CBC0232EC}" name="FASE" dataDxfId="1199"/>
    <tableColumn id="2" xr3:uid="{61DA66F3-5687-4279-B91E-3E0F81A76199}" name="SET.25" dataDxfId="1198"/>
    <tableColumn id="3" xr3:uid="{6FF6DC41-F1D0-4F5B-BCCF-3E8354EB8012}" name="OUT.25" dataDxfId="1197"/>
    <tableColumn id="4" xr3:uid="{49CD9A97-DAAE-49CF-A0D2-C28960FB6E38}" name="NOV.25" dataDxfId="1196"/>
    <tableColumn id="5" xr3:uid="{88B79997-1D90-44BA-8C3B-06779DA1504C}" name="DEZ.25" dataDxfId="1195"/>
    <tableColumn id="6" xr3:uid="{16928D5B-2AC7-4A62-AF1B-72CD16B1E9C7}" name="JAN.26" dataDxfId="1194"/>
    <tableColumn id="7" xr3:uid="{9B7903D0-E935-4728-A4FE-A0E0456093F9}" name="FEV.26" dataDxfId="1193"/>
    <tableColumn id="8" xr3:uid="{77EC3DF7-0C0D-4482-A28E-25006DFE2B7F}" name="MAR.26" dataDxfId="1192"/>
    <tableColumn id="9" xr3:uid="{28280F91-96C0-4AE9-869F-BBC7A95AA1C4}" name="ABR.26" dataDxfId="1191"/>
    <tableColumn id="10" xr3:uid="{0CBC2B89-DAFE-4AF4-A998-BEEC892893F3}" name="MAI.26" dataDxfId="1190"/>
    <tableColumn id="11" xr3:uid="{2B4B1748-7FB7-4519-B7D5-0D0E33B52256}" name="JUN.26" dataDxfId="1189"/>
    <tableColumn id="12" xr3:uid="{1D5C27D2-6D85-45A5-8CF0-BFB534CEB356}" name="JUL.26" dataDxfId="1188"/>
    <tableColumn id="13" xr3:uid="{0661597D-8A14-4E05-AC78-082368EB0975}" name="AGO.26" dataDxfId="1187"/>
    <tableColumn id="14" xr3:uid="{73146F1F-EC60-41AD-A306-D63D7D1CA9CA}" name="SET.26" dataDxfId="1186"/>
    <tableColumn id="15" xr3:uid="{CA663DEF-9EB5-45F5-8B7D-FF782105BD55}" name="OUT.26" dataDxfId="1185"/>
    <tableColumn id="16" xr3:uid="{950D27E1-3226-4314-90F9-81335C04878B}" name="NOV.26" dataDxfId="1184"/>
    <tableColumn id="17" xr3:uid="{38FED88C-36CD-4B6D-9C3D-9E8D750D8454}" name="DEZ.26" dataDxfId="1183"/>
  </tableColumns>
  <tableStyleInfo name="TableStyleMedium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B668A-7865-49FB-9848-00629D9DC273}">
  <sheetPr codeName="Planilha1">
    <tabColor theme="3"/>
  </sheetPr>
  <dimension ref="A1:P30"/>
  <sheetViews>
    <sheetView showGridLines="0" tabSelected="1" zoomScaleNormal="100" workbookViewId="0">
      <selection activeCell="B30" sqref="B30"/>
    </sheetView>
  </sheetViews>
  <sheetFormatPr defaultColWidth="0" defaultRowHeight="0" customHeight="1" zeroHeight="1" x14ac:dyDescent="0.2"/>
  <cols>
    <col min="1" max="13" width="18.42578125" style="1" customWidth="1"/>
    <col min="14" max="14" width="1.85546875" style="1" customWidth="1"/>
    <col min="15" max="16" width="0" style="1" hidden="1" customWidth="1"/>
    <col min="17" max="16384" width="8.7109375" style="1" hidden="1"/>
  </cols>
  <sheetData>
    <row r="1" spans="3:3" ht="36.75" customHeight="1" x14ac:dyDescent="0.2"/>
    <row r="2" spans="3:3" ht="15.95" customHeight="1" x14ac:dyDescent="0.2"/>
    <row r="3" spans="3:3" ht="15.95" customHeight="1" x14ac:dyDescent="0.2"/>
    <row r="4" spans="3:3" ht="15.95" customHeight="1" x14ac:dyDescent="0.2"/>
    <row r="5" spans="3:3" ht="15.95" customHeight="1" x14ac:dyDescent="0.2"/>
    <row r="6" spans="3:3" ht="15.95" customHeight="1" x14ac:dyDescent="0.2"/>
    <row r="7" spans="3:3" ht="15.95" customHeight="1" x14ac:dyDescent="0.2"/>
    <row r="8" spans="3:3" ht="15.95" customHeight="1" x14ac:dyDescent="0.2"/>
    <row r="9" spans="3:3" ht="15.95" customHeight="1" x14ac:dyDescent="0.2"/>
    <row r="10" spans="3:3" ht="83.25" customHeight="1" x14ac:dyDescent="0.2"/>
    <row r="11" spans="3:3" ht="15.95" customHeight="1" x14ac:dyDescent="0.2"/>
    <row r="12" spans="3:3" ht="15.95" customHeight="1" x14ac:dyDescent="0.2"/>
    <row r="13" spans="3:3" ht="15.95" customHeight="1" x14ac:dyDescent="0.2">
      <c r="C13" s="2"/>
    </row>
    <row r="14" spans="3:3" s="9" customFormat="1" ht="15.95" customHeight="1" x14ac:dyDescent="0.2">
      <c r="C14" s="10"/>
    </row>
    <row r="15" spans="3:3" s="9" customFormat="1" ht="15.95" customHeight="1" x14ac:dyDescent="0.2"/>
    <row r="16" spans="3:3" s="9" customFormat="1" ht="15.95" customHeight="1" x14ac:dyDescent="0.2"/>
    <row r="17" spans="1:3" s="9" customFormat="1" ht="15.95" customHeight="1" x14ac:dyDescent="0.2">
      <c r="A17" s="10"/>
      <c r="B17" s="10"/>
      <c r="C17" s="10"/>
    </row>
    <row r="18" spans="1:3" ht="15.95" customHeight="1" x14ac:dyDescent="0.2"/>
    <row r="19" spans="1:3" ht="15.95" customHeight="1" x14ac:dyDescent="0.2"/>
    <row r="20" spans="1:3" ht="15.95" customHeight="1" x14ac:dyDescent="0.2"/>
    <row r="21" spans="1:3" ht="15.95" customHeight="1" x14ac:dyDescent="0.2"/>
    <row r="22" spans="1:3" ht="15.95" customHeight="1" x14ac:dyDescent="0.2"/>
    <row r="23" spans="1:3" ht="15.95" customHeight="1" x14ac:dyDescent="0.2"/>
    <row r="24" spans="1:3" ht="15.95" customHeight="1" x14ac:dyDescent="0.2"/>
    <row r="25" spans="1:3" ht="15.95" customHeight="1" x14ac:dyDescent="0.2"/>
    <row r="26" spans="1:3" ht="15.95" customHeight="1" x14ac:dyDescent="0.2"/>
    <row r="27" spans="1:3" ht="15.95" customHeight="1" x14ac:dyDescent="0.2"/>
    <row r="28" spans="1:3" ht="15.95" customHeight="1" x14ac:dyDescent="0.2"/>
    <row r="29" spans="1:3" ht="15.95" customHeight="1" x14ac:dyDescent="0.2"/>
    <row r="30" spans="1:3" ht="20.100000000000001" customHeight="1" x14ac:dyDescent="0.2"/>
  </sheetData>
  <phoneticPr fontId="51" type="noConversion"/>
  <pageMargins left="0.511811024" right="0.511811024" top="0.78740157499999996" bottom="0.78740157499999996" header="0.31496062000000002" footer="0.31496062000000002"/>
  <pageSetup paperSize="9" orientation="portrait" horizontalDpi="4294967293" verticalDpi="0"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97562-5EA5-445F-9740-FD92551F0328}">
  <sheetPr>
    <tabColor theme="3"/>
  </sheetPr>
  <dimension ref="A1:BR46"/>
  <sheetViews>
    <sheetView showGridLines="0" zoomScale="115" zoomScaleNormal="115" workbookViewId="0">
      <selection activeCell="L14" sqref="L14"/>
    </sheetView>
  </sheetViews>
  <sheetFormatPr defaultColWidth="9.140625" defaultRowHeight="12.75" zeroHeight="1" outlineLevelRow="1" x14ac:dyDescent="0.2"/>
  <cols>
    <col min="1" max="1" width="8.5703125" style="185" bestFit="1" customWidth="1"/>
    <col min="2" max="19" width="15.42578125" style="185" customWidth="1"/>
    <col min="20" max="20" width="26.5703125" style="185" bestFit="1" customWidth="1"/>
    <col min="21" max="21" width="30" style="185" bestFit="1" customWidth="1"/>
    <col min="22" max="22" width="22.42578125" style="185" bestFit="1" customWidth="1"/>
    <col min="23" max="23" width="25.85546875" style="185" bestFit="1" customWidth="1"/>
    <col min="24" max="24" width="14" style="185" bestFit="1" customWidth="1"/>
    <col min="25" max="25" width="26.85546875" style="185" bestFit="1" customWidth="1"/>
    <col min="26" max="26" width="23.7109375" style="185" bestFit="1" customWidth="1"/>
    <col min="27" max="27" width="31.28515625" style="185" bestFit="1" customWidth="1"/>
    <col min="28" max="28" width="14.85546875" style="185" bestFit="1" customWidth="1"/>
    <col min="29" max="29" width="21.42578125" style="185" bestFit="1" customWidth="1"/>
    <col min="30" max="30" width="32.7109375" style="185" bestFit="1" customWidth="1"/>
    <col min="31" max="31" width="28.28515625" style="185" bestFit="1" customWidth="1"/>
    <col min="32" max="32" width="22.85546875" style="185" bestFit="1" customWidth="1"/>
    <col min="33" max="33" width="19.85546875" style="185" bestFit="1" customWidth="1"/>
    <col min="34" max="34" width="24.140625" style="185" bestFit="1" customWidth="1"/>
    <col min="35" max="35" width="22.28515625" style="185" bestFit="1" customWidth="1"/>
    <col min="36" max="37" width="14.28515625" style="185" bestFit="1" customWidth="1"/>
    <col min="38" max="38" width="24.140625" style="185" bestFit="1" customWidth="1"/>
    <col min="39" max="39" width="26.140625" style="185" bestFit="1" customWidth="1"/>
    <col min="40" max="40" width="19.42578125" style="185" bestFit="1" customWidth="1"/>
    <col min="41" max="41" width="17.5703125" style="185" bestFit="1" customWidth="1"/>
    <col min="42" max="42" width="4.7109375" style="185" bestFit="1" customWidth="1"/>
    <col min="43" max="43" width="24.140625" style="185" bestFit="1" customWidth="1"/>
    <col min="44" max="44" width="10.140625" style="185" bestFit="1" customWidth="1"/>
    <col min="45" max="45" width="15.42578125" style="185" bestFit="1" customWidth="1"/>
    <col min="46" max="46" width="11.28515625" style="185" bestFit="1" customWidth="1"/>
    <col min="47" max="47" width="30.140625" style="185" bestFit="1" customWidth="1"/>
    <col min="48" max="48" width="10.28515625" style="185" bestFit="1" customWidth="1"/>
    <col min="49" max="49" width="12.140625" style="185" bestFit="1" customWidth="1"/>
    <col min="50" max="51" width="13" style="185" bestFit="1" customWidth="1"/>
    <col min="52" max="52" width="14.7109375" style="185" bestFit="1" customWidth="1"/>
    <col min="53" max="53" width="12.5703125" style="185" bestFit="1" customWidth="1"/>
    <col min="54" max="54" width="15.28515625" style="185" bestFit="1" customWidth="1"/>
    <col min="55" max="55" width="13.42578125" style="185" bestFit="1" customWidth="1"/>
    <col min="56" max="56" width="14.85546875" style="185" bestFit="1" customWidth="1"/>
    <col min="57" max="57" width="10.28515625" style="185" bestFit="1" customWidth="1"/>
    <col min="58" max="58" width="11.5703125" style="185" bestFit="1" customWidth="1"/>
    <col min="59" max="59" width="14" style="185" bestFit="1" customWidth="1"/>
    <col min="60" max="62" width="10.28515625" style="185" bestFit="1" customWidth="1"/>
    <col min="63" max="63" width="14" style="185" bestFit="1" customWidth="1"/>
    <col min="64" max="67" width="11.28515625" style="185" bestFit="1" customWidth="1"/>
    <col min="68" max="68" width="10.28515625" style="185" bestFit="1" customWidth="1"/>
    <col min="69" max="69" width="13" style="185" bestFit="1" customWidth="1"/>
    <col min="70" max="70" width="14" style="185" bestFit="1" customWidth="1"/>
    <col min="71" max="16384" width="9.140625" style="185"/>
  </cols>
  <sheetData>
    <row r="1" spans="1:70" outlineLevel="1" x14ac:dyDescent="0.2">
      <c r="A1" s="361" t="s">
        <v>280</v>
      </c>
      <c r="B1" s="187" t="s">
        <v>391</v>
      </c>
    </row>
    <row r="2" spans="1:70" outlineLevel="1" x14ac:dyDescent="0.2">
      <c r="A2"/>
      <c r="B2"/>
      <c r="C2"/>
      <c r="D2"/>
      <c r="E2"/>
      <c r="F2"/>
      <c r="G2"/>
      <c r="H2"/>
      <c r="I2"/>
      <c r="J2"/>
    </row>
    <row r="3" spans="1:70" s="186" customFormat="1" outlineLevel="1" x14ac:dyDescent="0.2">
      <c r="A3" s="187"/>
      <c r="B3" s="361" t="s">
        <v>278</v>
      </c>
      <c r="C3" s="187"/>
      <c r="D3" s="187"/>
      <c r="E3" s="187"/>
      <c r="F3" s="187"/>
      <c r="G3" s="187"/>
      <c r="H3" s="187"/>
      <c r="I3" s="187"/>
      <c r="J3" s="187"/>
      <c r="K3" s="187"/>
      <c r="L3" s="187"/>
      <c r="M3" s="187"/>
      <c r="N3" s="187"/>
      <c r="O3" s="187"/>
      <c r="P3" s="187"/>
      <c r="Q3" s="187"/>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row>
    <row r="4" spans="1:70" s="186" customFormat="1" ht="38.25" outlineLevel="1" x14ac:dyDescent="0.2">
      <c r="A4" s="362" t="s">
        <v>279</v>
      </c>
      <c r="B4" s="363" t="s">
        <v>262</v>
      </c>
      <c r="C4" s="363" t="s">
        <v>263</v>
      </c>
      <c r="D4" s="363" t="s">
        <v>265</v>
      </c>
      <c r="E4" s="363" t="s">
        <v>287</v>
      </c>
      <c r="F4" s="363" t="s">
        <v>288</v>
      </c>
      <c r="G4" s="363" t="s">
        <v>283</v>
      </c>
      <c r="H4" s="363" t="s">
        <v>274</v>
      </c>
      <c r="I4" s="363" t="s">
        <v>284</v>
      </c>
      <c r="J4" s="363" t="s">
        <v>285</v>
      </c>
      <c r="K4" s="363" t="s">
        <v>301</v>
      </c>
      <c r="L4" s="363" t="s">
        <v>290</v>
      </c>
      <c r="M4" s="363" t="s">
        <v>277</v>
      </c>
      <c r="N4" s="363" t="s">
        <v>272</v>
      </c>
      <c r="O4" s="187" t="s">
        <v>29</v>
      </c>
      <c r="P4" s="187" t="s">
        <v>28</v>
      </c>
      <c r="Q4" s="363" t="s">
        <v>260</v>
      </c>
      <c r="R4"/>
      <c r="S4"/>
      <c r="T4" s="193"/>
      <c r="U4" s="193"/>
      <c r="V4" s="193"/>
      <c r="W4" s="193"/>
      <c r="X4" s="193"/>
      <c r="Y4" s="193"/>
      <c r="Z4" s="193"/>
      <c r="AA4" s="193"/>
      <c r="AB4" s="193"/>
      <c r="AC4" s="193"/>
      <c r="AD4" s="193"/>
      <c r="AE4" s="193"/>
      <c r="AF4" s="193"/>
      <c r="AG4" s="193"/>
      <c r="AH4" s="193"/>
      <c r="AI4" s="193"/>
      <c r="AJ4" s="193"/>
      <c r="AK4" s="193"/>
      <c r="AL4" s="193"/>
      <c r="AM4" s="193"/>
      <c r="AN4" s="193"/>
      <c r="AO4" s="193"/>
      <c r="AP4" s="193"/>
      <c r="AQ4" s="193"/>
      <c r="AR4" s="193"/>
      <c r="AS4" s="193"/>
      <c r="AT4" s="193"/>
      <c r="AU4" s="193"/>
      <c r="AV4" s="193"/>
      <c r="AW4" s="193"/>
      <c r="AX4" s="193"/>
      <c r="AY4" s="193"/>
      <c r="AZ4" s="193"/>
      <c r="BA4" s="193"/>
      <c r="BB4" s="193"/>
      <c r="BC4" s="193"/>
      <c r="BD4" s="193"/>
      <c r="BE4" s="193"/>
      <c r="BF4" s="193"/>
      <c r="BG4" s="193"/>
      <c r="BH4" s="193"/>
      <c r="BI4" s="193"/>
      <c r="BJ4" s="193"/>
      <c r="BK4" s="193"/>
      <c r="BL4" s="193"/>
      <c r="BM4" s="193"/>
      <c r="BN4" s="193"/>
      <c r="BO4" s="193"/>
      <c r="BP4" s="193"/>
      <c r="BQ4" s="193"/>
      <c r="BR4" s="193"/>
    </row>
    <row r="5" spans="1:70" s="239" customFormat="1" outlineLevel="1" x14ac:dyDescent="0.2">
      <c r="A5" s="187" t="s">
        <v>266</v>
      </c>
      <c r="B5" s="187">
        <v>2682441.8640861488</v>
      </c>
      <c r="C5" s="187">
        <v>2682398.1800000002</v>
      </c>
      <c r="D5" s="187">
        <v>1896991.9928960002</v>
      </c>
      <c r="E5" s="187">
        <v>309406.46749999997</v>
      </c>
      <c r="F5" s="187">
        <v>293831.86749999999</v>
      </c>
      <c r="G5" s="187">
        <v>0</v>
      </c>
      <c r="H5" s="187">
        <v>0</v>
      </c>
      <c r="I5" s="187">
        <v>1000</v>
      </c>
      <c r="J5" s="187">
        <v>14574.6</v>
      </c>
      <c r="K5" s="187">
        <v>2682441.8640861488</v>
      </c>
      <c r="L5" s="187">
        <v>2682398.1800000002</v>
      </c>
      <c r="M5" s="187">
        <v>1896991.9928960002</v>
      </c>
      <c r="N5" s="187">
        <v>309406.46749999997</v>
      </c>
      <c r="O5" s="187">
        <v>1587585.5253960001</v>
      </c>
      <c r="P5" s="187">
        <v>1587585.5253960001</v>
      </c>
      <c r="Q5" s="187">
        <v>18627054.527256295</v>
      </c>
      <c r="R5"/>
      <c r="S5" s="295"/>
      <c r="T5" s="295"/>
      <c r="U5" s="295"/>
      <c r="V5" s="295"/>
      <c r="W5" s="295"/>
      <c r="X5" s="295"/>
      <c r="Y5" s="295"/>
      <c r="Z5" s="295"/>
      <c r="AA5" s="295"/>
      <c r="AB5" s="295"/>
      <c r="AC5" s="295"/>
      <c r="AD5" s="295"/>
      <c r="AE5" s="295"/>
      <c r="AF5" s="295"/>
      <c r="AG5" s="295"/>
      <c r="AH5" s="295"/>
      <c r="AI5" s="295"/>
      <c r="AJ5" s="295"/>
      <c r="AK5" s="295"/>
      <c r="AL5" s="295"/>
      <c r="AM5" s="295"/>
      <c r="AN5" s="295"/>
      <c r="AO5" s="295"/>
      <c r="AP5" s="295"/>
      <c r="AQ5" s="295"/>
      <c r="AR5" s="295"/>
      <c r="AS5" s="295"/>
      <c r="AT5" s="295"/>
      <c r="AU5" s="295"/>
      <c r="AV5" s="295"/>
      <c r="AW5" s="295"/>
      <c r="AX5" s="295"/>
      <c r="AY5" s="295"/>
      <c r="AZ5" s="295"/>
      <c r="BA5" s="295"/>
      <c r="BB5" s="295"/>
      <c r="BC5" s="295"/>
      <c r="BD5" s="295"/>
      <c r="BE5" s="295"/>
      <c r="BF5" s="295"/>
      <c r="BG5" s="295"/>
      <c r="BH5" s="295"/>
      <c r="BI5" s="295"/>
      <c r="BJ5" s="295"/>
      <c r="BK5" s="295"/>
      <c r="BL5" s="295"/>
      <c r="BM5" s="295"/>
      <c r="BN5" s="295"/>
      <c r="BO5" s="295"/>
      <c r="BP5" s="295"/>
      <c r="BQ5" s="295"/>
      <c r="BR5" s="295"/>
    </row>
    <row r="6" spans="1:70" s="239" customFormat="1" outlineLevel="1" x14ac:dyDescent="0.2">
      <c r="A6" s="187" t="s">
        <v>267</v>
      </c>
      <c r="B6" s="187">
        <v>3504830.0950684338</v>
      </c>
      <c r="C6" s="187">
        <v>3504771.3</v>
      </c>
      <c r="D6" s="187">
        <v>2478574.2633599997</v>
      </c>
      <c r="E6" s="187">
        <v>336036.37700000004</v>
      </c>
      <c r="F6" s="187">
        <v>314766.10700000002</v>
      </c>
      <c r="G6" s="187">
        <v>2118.21</v>
      </c>
      <c r="H6" s="187">
        <v>3000</v>
      </c>
      <c r="I6" s="187">
        <v>1577.46</v>
      </c>
      <c r="J6" s="187">
        <v>14574.6</v>
      </c>
      <c r="K6" s="187">
        <v>6187271.9591545826</v>
      </c>
      <c r="L6" s="187">
        <v>6187169.4800000004</v>
      </c>
      <c r="M6" s="187">
        <v>4375566.2562560001</v>
      </c>
      <c r="N6" s="187">
        <v>645442.84450000001</v>
      </c>
      <c r="O6" s="187">
        <v>2142537.8863599999</v>
      </c>
      <c r="P6" s="187">
        <v>3730123.411756</v>
      </c>
      <c r="Q6" s="187">
        <v>33428360.250455022</v>
      </c>
      <c r="R6"/>
      <c r="S6" s="295"/>
      <c r="T6" s="295"/>
      <c r="U6" s="295"/>
      <c r="V6" s="295"/>
      <c r="W6" s="295"/>
      <c r="X6" s="295"/>
      <c r="Y6" s="295"/>
      <c r="Z6" s="295"/>
      <c r="AA6" s="295"/>
      <c r="AB6" s="295"/>
      <c r="AC6" s="295"/>
      <c r="AD6" s="295"/>
      <c r="AE6" s="295"/>
      <c r="AF6" s="295"/>
      <c r="AG6" s="295"/>
      <c r="AH6" s="295"/>
      <c r="AI6" s="295"/>
      <c r="AJ6" s="295"/>
      <c r="AK6" s="295"/>
      <c r="AL6" s="295"/>
      <c r="AM6" s="295"/>
      <c r="AN6" s="295"/>
      <c r="AO6" s="295"/>
      <c r="AP6" s="295"/>
      <c r="AQ6" s="295"/>
      <c r="AR6" s="295"/>
      <c r="AS6" s="295"/>
      <c r="AT6" s="295"/>
      <c r="AU6" s="295"/>
      <c r="AV6" s="295"/>
      <c r="AW6" s="295"/>
      <c r="AX6" s="295"/>
      <c r="AY6" s="295"/>
      <c r="AZ6" s="295"/>
      <c r="BA6" s="295"/>
      <c r="BB6" s="295"/>
      <c r="BC6" s="295"/>
      <c r="BD6" s="295"/>
      <c r="BE6" s="295"/>
      <c r="BF6" s="295"/>
      <c r="BG6" s="295"/>
      <c r="BH6" s="295"/>
      <c r="BI6" s="295"/>
      <c r="BJ6" s="295"/>
      <c r="BK6" s="295"/>
      <c r="BL6" s="295"/>
      <c r="BM6" s="295"/>
      <c r="BN6" s="295"/>
      <c r="BO6" s="295"/>
      <c r="BP6" s="295"/>
      <c r="BQ6" s="295"/>
      <c r="BR6" s="295"/>
    </row>
    <row r="7" spans="1:70" s="239" customFormat="1" outlineLevel="1" x14ac:dyDescent="0.2">
      <c r="A7" s="187" t="s">
        <v>268</v>
      </c>
      <c r="B7" s="187">
        <v>5536322.335068264</v>
      </c>
      <c r="C7" s="187">
        <v>4819988.1303637233</v>
      </c>
      <c r="D7" s="187">
        <v>3408695.6057932251</v>
      </c>
      <c r="E7" s="187">
        <v>2260758.4300000002</v>
      </c>
      <c r="F7" s="187">
        <v>932779.57</v>
      </c>
      <c r="G7" s="187">
        <v>294229.71999999997</v>
      </c>
      <c r="H7" s="187">
        <v>628055.43999999994</v>
      </c>
      <c r="I7" s="187">
        <v>391119.10000000003</v>
      </c>
      <c r="J7" s="187">
        <v>14574.6</v>
      </c>
      <c r="K7" s="187">
        <v>11723594.294222847</v>
      </c>
      <c r="L7" s="187">
        <v>11007157.610363724</v>
      </c>
      <c r="M7" s="187">
        <v>7784261.8620492257</v>
      </c>
      <c r="N7" s="187">
        <v>2906201.2745000003</v>
      </c>
      <c r="O7" s="187">
        <v>1147937.1757932249</v>
      </c>
      <c r="P7" s="187">
        <v>4878060.5875492245</v>
      </c>
      <c r="Q7" s="187">
        <v>57733735.735703461</v>
      </c>
      <c r="R7"/>
      <c r="S7" s="295"/>
      <c r="T7" s="295"/>
      <c r="U7" s="295"/>
      <c r="V7" s="295"/>
      <c r="W7" s="295"/>
      <c r="X7" s="295"/>
      <c r="Y7" s="295"/>
      <c r="Z7" s="295"/>
      <c r="AA7" s="295"/>
      <c r="AB7" s="295"/>
      <c r="AC7" s="295"/>
      <c r="AD7" s="295"/>
      <c r="AE7" s="295"/>
      <c r="AF7" s="295"/>
      <c r="AG7" s="295"/>
      <c r="AH7" s="295"/>
      <c r="AI7" s="295"/>
      <c r="AJ7" s="295"/>
      <c r="AK7" s="295"/>
      <c r="AL7" s="295"/>
      <c r="AM7" s="295"/>
      <c r="AN7" s="295"/>
      <c r="AO7" s="295"/>
      <c r="AP7" s="295"/>
      <c r="AQ7" s="295"/>
      <c r="AR7" s="295"/>
      <c r="AS7" s="295"/>
      <c r="AT7" s="295"/>
      <c r="AU7" s="295"/>
      <c r="AV7" s="295"/>
      <c r="AW7" s="295"/>
      <c r="AX7" s="295"/>
      <c r="AY7" s="295"/>
      <c r="AZ7" s="295"/>
      <c r="BA7" s="295"/>
      <c r="BB7" s="295"/>
      <c r="BC7" s="295"/>
      <c r="BD7" s="295"/>
      <c r="BE7" s="295"/>
      <c r="BF7" s="295"/>
      <c r="BG7" s="295"/>
      <c r="BH7" s="295"/>
      <c r="BI7" s="295"/>
      <c r="BJ7" s="295"/>
      <c r="BK7" s="295"/>
      <c r="BL7" s="295"/>
      <c r="BM7" s="295"/>
      <c r="BN7" s="295"/>
      <c r="BO7" s="295"/>
      <c r="BP7" s="295"/>
      <c r="BQ7" s="295"/>
      <c r="BR7" s="295"/>
    </row>
    <row r="8" spans="1:70" s="239" customFormat="1" outlineLevel="1" x14ac:dyDescent="0.2">
      <c r="A8" s="187" t="s">
        <v>269</v>
      </c>
      <c r="B8" s="187">
        <v>3379739.772766693</v>
      </c>
      <c r="C8" s="187">
        <v>3858000.8059420362</v>
      </c>
      <c r="D8" s="187">
        <v>2728378.1699622078</v>
      </c>
      <c r="E8" s="187">
        <v>2363397.0499999998</v>
      </c>
      <c r="F8" s="187">
        <v>846104.69000000006</v>
      </c>
      <c r="G8" s="187">
        <v>563111.36999999988</v>
      </c>
      <c r="H8" s="187">
        <v>586935.06999999995</v>
      </c>
      <c r="I8" s="187">
        <v>367245.92</v>
      </c>
      <c r="J8" s="187">
        <v>0</v>
      </c>
      <c r="K8" s="187">
        <v>15103334.066989539</v>
      </c>
      <c r="L8" s="187">
        <v>14865158.41630576</v>
      </c>
      <c r="M8" s="187">
        <v>10512640.032011434</v>
      </c>
      <c r="N8" s="187">
        <v>5269598.3245000001</v>
      </c>
      <c r="O8" s="187">
        <v>364981.11996220797</v>
      </c>
      <c r="P8" s="187">
        <v>5243041.7075114325</v>
      </c>
      <c r="Q8" s="187">
        <v>66051666.515951313</v>
      </c>
      <c r="R8"/>
      <c r="S8" s="295"/>
      <c r="T8" s="295"/>
      <c r="U8" s="295"/>
      <c r="V8" s="295"/>
      <c r="W8" s="295"/>
      <c r="X8" s="295"/>
      <c r="Y8" s="295"/>
      <c r="Z8" s="295"/>
      <c r="AA8" s="295"/>
      <c r="AB8" s="295"/>
      <c r="AC8" s="295"/>
      <c r="AD8" s="295"/>
      <c r="AE8" s="295"/>
      <c r="AF8" s="295"/>
      <c r="AG8" s="295"/>
      <c r="AH8" s="295"/>
      <c r="AI8" s="295"/>
      <c r="AJ8" s="295"/>
      <c r="AK8" s="295"/>
      <c r="AL8" s="295"/>
      <c r="AM8" s="295"/>
      <c r="AN8" s="295"/>
      <c r="AO8" s="295"/>
      <c r="AP8" s="295"/>
      <c r="AQ8" s="295"/>
      <c r="AR8" s="295"/>
      <c r="AS8" s="295"/>
      <c r="AT8" s="295"/>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row>
    <row r="9" spans="1:70" s="239" customFormat="1" outlineLevel="1" x14ac:dyDescent="0.2">
      <c r="A9" s="187" t="s">
        <v>270</v>
      </c>
      <c r="B9" s="187">
        <v>3563364.7476572138</v>
      </c>
      <c r="C9" s="187">
        <v>3172783.1449003131</v>
      </c>
      <c r="D9" s="187">
        <v>2243792.2400735011</v>
      </c>
      <c r="E9" s="187">
        <v>2116954</v>
      </c>
      <c r="F9" s="187">
        <v>858568.00000000012</v>
      </c>
      <c r="G9" s="187">
        <v>625726.35</v>
      </c>
      <c r="H9" s="187">
        <v>202924.25</v>
      </c>
      <c r="I9" s="187">
        <v>429735.4</v>
      </c>
      <c r="J9" s="187">
        <v>0</v>
      </c>
      <c r="K9" s="187">
        <v>18666698.814646754</v>
      </c>
      <c r="L9" s="187">
        <v>18037941.561206073</v>
      </c>
      <c r="M9" s="187">
        <v>12756432.272084936</v>
      </c>
      <c r="N9" s="187">
        <v>7386552.3245000001</v>
      </c>
      <c r="O9" s="187">
        <v>126838.24007350113</v>
      </c>
      <c r="P9" s="187">
        <v>5369879.9475849336</v>
      </c>
      <c r="Q9" s="187">
        <v>75558191.292727217</v>
      </c>
      <c r="R9"/>
      <c r="S9" s="295"/>
      <c r="T9" s="295"/>
      <c r="U9" s="295"/>
      <c r="V9" s="295"/>
      <c r="W9" s="295"/>
      <c r="X9" s="295"/>
      <c r="Y9" s="295"/>
      <c r="Z9" s="295"/>
      <c r="AA9" s="295"/>
      <c r="AB9" s="295"/>
      <c r="AC9" s="295"/>
      <c r="AD9" s="295"/>
      <c r="AE9" s="295"/>
      <c r="AF9" s="295"/>
      <c r="AG9" s="295"/>
      <c r="AH9" s="295"/>
      <c r="AI9" s="295"/>
      <c r="AJ9" s="295"/>
      <c r="AK9" s="295"/>
      <c r="AL9" s="295"/>
      <c r="AM9" s="295"/>
      <c r="AN9" s="295"/>
      <c r="AO9" s="295"/>
      <c r="AP9" s="295"/>
      <c r="AQ9" s="295"/>
      <c r="AR9" s="295"/>
      <c r="AS9" s="295"/>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row>
    <row r="10" spans="1:70" s="239" customFormat="1" outlineLevel="1" x14ac:dyDescent="0.2">
      <c r="A10" s="187" t="s">
        <v>271</v>
      </c>
      <c r="B10" s="187">
        <v>2683040.9223662</v>
      </c>
      <c r="C10" s="187">
        <v>2208432.1647103997</v>
      </c>
      <c r="D10" s="187">
        <v>1561803.2268831949</v>
      </c>
      <c r="E10" s="187">
        <v>1863133.9100000001</v>
      </c>
      <c r="F10" s="187">
        <v>857653.26000000013</v>
      </c>
      <c r="G10" s="187">
        <v>387989.16</v>
      </c>
      <c r="H10" s="187">
        <v>174201</v>
      </c>
      <c r="I10" s="187">
        <v>443290.49000000005</v>
      </c>
      <c r="J10" s="187">
        <v>0</v>
      </c>
      <c r="K10" s="187">
        <v>21349739.737012953</v>
      </c>
      <c r="L10" s="187">
        <v>20246373.725916471</v>
      </c>
      <c r="M10" s="187">
        <v>14318235.498968132</v>
      </c>
      <c r="N10" s="187">
        <v>9249686.2345000003</v>
      </c>
      <c r="O10" s="187">
        <v>-301330.68311680527</v>
      </c>
      <c r="P10" s="187">
        <v>5068549.2644681279</v>
      </c>
      <c r="Q10" s="187">
        <v>80110797.911708668</v>
      </c>
      <c r="R10"/>
      <c r="S10" s="295"/>
      <c r="T10" s="295"/>
      <c r="U10" s="295"/>
      <c r="V10" s="295"/>
      <c r="W10" s="295"/>
      <c r="X10" s="295"/>
      <c r="Y10" s="295"/>
      <c r="Z10" s="295"/>
      <c r="AA10" s="295"/>
      <c r="AB10" s="295"/>
      <c r="AC10" s="295"/>
      <c r="AD10" s="295"/>
      <c r="AE10" s="295"/>
      <c r="AF10" s="295"/>
      <c r="AG10" s="295"/>
      <c r="AH10" s="295"/>
      <c r="AI10" s="295"/>
      <c r="AJ10" s="295"/>
      <c r="AK10" s="295"/>
      <c r="AL10" s="295"/>
      <c r="AM10" s="295"/>
      <c r="AN10" s="295"/>
      <c r="AO10" s="295"/>
      <c r="AP10" s="295"/>
      <c r="AQ10" s="295"/>
      <c r="AR10" s="295"/>
      <c r="AS10" s="295"/>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row>
    <row r="11" spans="1:70" s="239" customFormat="1" outlineLevel="1" x14ac:dyDescent="0.2">
      <c r="A11" s="187" t="s">
        <v>368</v>
      </c>
      <c r="B11" s="187">
        <v>3079978.0868043997</v>
      </c>
      <c r="C11" s="187">
        <v>3365394.4477781998</v>
      </c>
      <c r="D11" s="187">
        <v>2380006.9534687428</v>
      </c>
      <c r="E11" s="187">
        <v>1908440.83</v>
      </c>
      <c r="F11" s="187">
        <v>857657.26000000013</v>
      </c>
      <c r="G11" s="187">
        <v>433154.58</v>
      </c>
      <c r="H11" s="187">
        <v>174338.5</v>
      </c>
      <c r="I11" s="187">
        <v>443290.49000000005</v>
      </c>
      <c r="J11" s="187">
        <v>0</v>
      </c>
      <c r="K11" s="187">
        <v>24429717.823817354</v>
      </c>
      <c r="L11" s="187">
        <v>23611768.17369467</v>
      </c>
      <c r="M11" s="187">
        <v>16698242.452436876</v>
      </c>
      <c r="N11" s="187">
        <v>11158127.0645</v>
      </c>
      <c r="O11" s="187">
        <v>471566.12346874271</v>
      </c>
      <c r="P11" s="187">
        <v>5540115.3879368706</v>
      </c>
      <c r="Q11" s="187">
        <v>94551798.173905864</v>
      </c>
      <c r="R11"/>
      <c r="S11" s="295"/>
      <c r="T11" s="295"/>
      <c r="U11" s="295"/>
      <c r="V11" s="295"/>
      <c r="W11" s="295"/>
      <c r="X11" s="295"/>
      <c r="Y11" s="295"/>
      <c r="Z11" s="295"/>
      <c r="AA11" s="295"/>
      <c r="AB11" s="295"/>
      <c r="AC11" s="295"/>
      <c r="AD11" s="295"/>
      <c r="AE11" s="295"/>
      <c r="AF11" s="295"/>
      <c r="AG11" s="295"/>
      <c r="AH11" s="295"/>
      <c r="AI11" s="295"/>
      <c r="AJ11" s="295"/>
      <c r="AK11" s="295"/>
      <c r="AL11" s="295"/>
      <c r="AM11" s="295"/>
      <c r="AN11" s="295"/>
      <c r="AO11" s="295"/>
      <c r="AP11" s="295"/>
      <c r="AQ11" s="295"/>
      <c r="AR11" s="295"/>
      <c r="AS11" s="295"/>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row>
    <row r="12" spans="1:70" s="239" customFormat="1" outlineLevel="1" x14ac:dyDescent="0.2">
      <c r="A12" s="187" t="s">
        <v>392</v>
      </c>
      <c r="B12" s="187">
        <v>2477000.9923422001</v>
      </c>
      <c r="C12" s="187">
        <v>2301390.7259525997</v>
      </c>
      <c r="D12" s="187">
        <v>1627543.5213936784</v>
      </c>
      <c r="E12" s="187">
        <v>1364688.7910000002</v>
      </c>
      <c r="F12" s="187">
        <v>578020.87100000004</v>
      </c>
      <c r="G12" s="187">
        <v>333154.58</v>
      </c>
      <c r="H12" s="187">
        <v>174338.5</v>
      </c>
      <c r="I12" s="187">
        <v>279174.84000000003</v>
      </c>
      <c r="J12" s="187">
        <v>0</v>
      </c>
      <c r="K12" s="187">
        <v>26906718.816159554</v>
      </c>
      <c r="L12" s="187">
        <v>25913158.899647269</v>
      </c>
      <c r="M12" s="187">
        <v>18325785.973830555</v>
      </c>
      <c r="N12" s="187">
        <v>12522815.855500001</v>
      </c>
      <c r="O12" s="187">
        <v>262854.73039367818</v>
      </c>
      <c r="P12" s="187">
        <v>5802970.1183305485</v>
      </c>
      <c r="Q12" s="187">
        <v>98869617.21555008</v>
      </c>
      <c r="R12"/>
      <c r="S12" s="295"/>
      <c r="T12" s="295"/>
      <c r="U12" s="295"/>
      <c r="V12" s="295"/>
      <c r="W12" s="295"/>
      <c r="X12" s="295"/>
      <c r="Y12" s="295"/>
      <c r="Z12" s="295"/>
      <c r="AA12" s="295"/>
      <c r="AB12" s="295"/>
      <c r="AC12" s="295"/>
      <c r="AD12" s="295"/>
      <c r="AE12" s="295"/>
      <c r="AF12" s="295"/>
      <c r="AG12" s="295"/>
      <c r="AH12" s="295"/>
      <c r="AI12" s="295"/>
      <c r="AJ12" s="295"/>
      <c r="AK12" s="295"/>
      <c r="AL12" s="295"/>
      <c r="AM12" s="295"/>
      <c r="AN12" s="295"/>
      <c r="AO12" s="295"/>
      <c r="AP12" s="295"/>
      <c r="AQ12" s="295"/>
      <c r="AR12" s="295"/>
      <c r="AS12" s="295"/>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row>
    <row r="13" spans="1:70" s="239" customFormat="1" outlineLevel="1" x14ac:dyDescent="0.2">
      <c r="A13" s="187" t="s">
        <v>393</v>
      </c>
      <c r="B13" s="187">
        <v>2406191.2191845998</v>
      </c>
      <c r="C13" s="187">
        <v>2116461.8482776</v>
      </c>
      <c r="D13" s="187">
        <v>1496761.8191019187</v>
      </c>
      <c r="E13" s="187">
        <v>2624547.0444999998</v>
      </c>
      <c r="F13" s="187">
        <v>846710.62450000003</v>
      </c>
      <c r="G13" s="187">
        <v>481208.52999999997</v>
      </c>
      <c r="H13" s="187">
        <v>694987.48</v>
      </c>
      <c r="I13" s="187">
        <v>601640.41</v>
      </c>
      <c r="J13" s="187">
        <v>0</v>
      </c>
      <c r="K13" s="187">
        <v>29312910.035344154</v>
      </c>
      <c r="L13" s="187">
        <v>28029620.747924868</v>
      </c>
      <c r="M13" s="187">
        <v>19822547.792932473</v>
      </c>
      <c r="N13" s="187">
        <v>11874233.278999999</v>
      </c>
      <c r="O13" s="187">
        <v>-1127785.2253980811</v>
      </c>
      <c r="P13" s="187">
        <v>4675184.8929324672</v>
      </c>
      <c r="Q13" s="187">
        <v>103855220.49830002</v>
      </c>
      <c r="R13"/>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row>
    <row r="14" spans="1:70" x14ac:dyDescent="0.2"/>
    <row r="15" spans="1:70" x14ac:dyDescent="0.2"/>
    <row r="16" spans="1:70"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98CF2-9163-434F-A884-A3FCDDD54085}">
  <sheetPr codeName="Planilha2">
    <tabColor theme="3"/>
    <outlinePr summaryBelow="0"/>
    <pageSetUpPr fitToPage="1"/>
  </sheetPr>
  <dimension ref="A1:P105"/>
  <sheetViews>
    <sheetView showGridLines="0" showZeros="0" zoomScale="110" zoomScaleNormal="110" workbookViewId="0">
      <pane xSplit="4" ySplit="5" topLeftCell="E6" activePane="bottomRight" state="frozen"/>
      <selection pane="topRight" activeCell="D1" sqref="D1"/>
      <selection pane="bottomLeft" activeCell="A6" sqref="A6"/>
      <selection pane="bottomRight" activeCell="D4" sqref="D4"/>
    </sheetView>
  </sheetViews>
  <sheetFormatPr defaultColWidth="0" defaultRowHeight="12.75" outlineLevelRow="2" x14ac:dyDescent="0.2"/>
  <cols>
    <col min="1" max="1" width="5.7109375" style="1" customWidth="1"/>
    <col min="2" max="2" width="12.85546875" style="1" hidden="1" customWidth="1"/>
    <col min="3" max="3" width="25.28515625" style="1" hidden="1" customWidth="1"/>
    <col min="4" max="4" width="50.7109375" style="3" bestFit="1" customWidth="1"/>
    <col min="5" max="13" width="15.28515625" style="1" customWidth="1"/>
    <col min="14" max="14" width="16.7109375" style="1" customWidth="1"/>
    <col min="15" max="15" width="3" style="1" customWidth="1"/>
    <col min="16" max="16384" width="10.7109375" style="1" hidden="1"/>
  </cols>
  <sheetData>
    <row r="1" spans="1:16" ht="18" customHeight="1" x14ac:dyDescent="0.2">
      <c r="A1" s="348" t="s">
        <v>253</v>
      </c>
      <c r="B1" s="349"/>
      <c r="C1" s="349"/>
      <c r="D1" s="350"/>
      <c r="E1" s="339" t="s">
        <v>257</v>
      </c>
      <c r="F1" s="340"/>
      <c r="G1" s="340"/>
      <c r="H1" s="340"/>
      <c r="I1" s="340"/>
      <c r="J1" s="340"/>
      <c r="K1" s="340"/>
      <c r="L1" s="340"/>
      <c r="M1" s="341"/>
      <c r="N1" s="176">
        <v>46084</v>
      </c>
    </row>
    <row r="2" spans="1:16" ht="18" customHeight="1" x14ac:dyDescent="0.2">
      <c r="A2" s="351"/>
      <c r="B2" s="352"/>
      <c r="C2" s="352"/>
      <c r="D2" s="353"/>
      <c r="E2" s="342" t="s">
        <v>256</v>
      </c>
      <c r="F2" s="343"/>
      <c r="G2" s="343"/>
      <c r="H2" s="343"/>
      <c r="I2" s="343"/>
      <c r="J2" s="343"/>
      <c r="K2" s="343"/>
      <c r="L2" s="343"/>
      <c r="M2" s="344"/>
      <c r="N2" s="330" t="s">
        <v>289</v>
      </c>
    </row>
    <row r="3" spans="1:16" ht="18" customHeight="1" x14ac:dyDescent="0.2">
      <c r="A3" s="354"/>
      <c r="B3" s="355"/>
      <c r="C3" s="355"/>
      <c r="D3" s="356"/>
      <c r="E3" s="345" t="s">
        <v>258</v>
      </c>
      <c r="F3" s="346"/>
      <c r="G3" s="346"/>
      <c r="H3" s="346"/>
      <c r="I3" s="346"/>
      <c r="J3" s="346"/>
      <c r="K3" s="346"/>
      <c r="L3" s="346"/>
      <c r="M3" s="347"/>
      <c r="N3" s="331"/>
    </row>
    <row r="4" spans="1:16" ht="20.100000000000001" customHeight="1" x14ac:dyDescent="0.2">
      <c r="A4" s="194" t="s">
        <v>121</v>
      </c>
      <c r="B4" s="194" t="s">
        <v>280</v>
      </c>
      <c r="C4" s="194" t="s">
        <v>286</v>
      </c>
      <c r="D4" s="194" t="s">
        <v>259</v>
      </c>
      <c r="E4" s="194">
        <v>45901</v>
      </c>
      <c r="F4" s="194">
        <v>45931</v>
      </c>
      <c r="G4" s="194">
        <v>45962</v>
      </c>
      <c r="H4" s="194">
        <v>45992</v>
      </c>
      <c r="I4" s="194">
        <v>46023</v>
      </c>
      <c r="J4" s="194">
        <v>46054</v>
      </c>
      <c r="K4" s="194">
        <v>46082</v>
      </c>
      <c r="L4" s="194">
        <v>46113</v>
      </c>
      <c r="M4" s="194">
        <v>46143</v>
      </c>
      <c r="N4" s="194" t="s">
        <v>115</v>
      </c>
    </row>
    <row r="5" spans="1:16" ht="20.100000000000001" customHeight="1" x14ac:dyDescent="0.2">
      <c r="A5" s="195">
        <v>1</v>
      </c>
      <c r="B5" s="196" t="s">
        <v>134</v>
      </c>
      <c r="C5" s="196" t="s">
        <v>134</v>
      </c>
      <c r="D5" s="197" t="s">
        <v>114</v>
      </c>
      <c r="E5" s="198"/>
      <c r="F5" s="198"/>
      <c r="G5" s="198"/>
      <c r="H5" s="198"/>
      <c r="I5" s="198"/>
      <c r="J5" s="198"/>
      <c r="K5" s="198"/>
      <c r="L5" s="198"/>
      <c r="M5" s="198"/>
      <c r="N5" s="199"/>
      <c r="P5" s="1" t="s">
        <v>255</v>
      </c>
    </row>
    <row r="6" spans="1:16" ht="18" customHeight="1" x14ac:dyDescent="0.2">
      <c r="A6" s="150" t="s">
        <v>0</v>
      </c>
      <c r="B6" s="148" t="s">
        <v>281</v>
      </c>
      <c r="C6" s="148" t="str">
        <f>D6</f>
        <v>RECEITA - PREVISÃO</v>
      </c>
      <c r="D6" s="149" t="s">
        <v>262</v>
      </c>
      <c r="E6" s="188">
        <f>CTRL_SS!J44</f>
        <v>2682441.8640861488</v>
      </c>
      <c r="F6" s="188">
        <f>CTRL_SS!P44</f>
        <v>3504830.0950684338</v>
      </c>
      <c r="G6" s="188">
        <f>CTRL_SS!V44</f>
        <v>5536322.335068264</v>
      </c>
      <c r="H6" s="188">
        <f>CTRL_SS!AB44</f>
        <v>3379739.772766693</v>
      </c>
      <c r="I6" s="188">
        <f>CTRL_SS!AH44</f>
        <v>3563364.7476572138</v>
      </c>
      <c r="J6" s="188">
        <f>CTRL_SS!AN44</f>
        <v>2683040.9223662</v>
      </c>
      <c r="K6" s="188">
        <f>CTRL_SS!AT44</f>
        <v>3079978.0868043997</v>
      </c>
      <c r="L6" s="188">
        <f>CTRL_SS!AZ44</f>
        <v>2477000.9923422001</v>
      </c>
      <c r="M6" s="188">
        <f>CTRL_SS!BF44</f>
        <v>2406191.2191845998</v>
      </c>
      <c r="N6" s="234"/>
      <c r="P6" s="1" t="s">
        <v>254</v>
      </c>
    </row>
    <row r="7" spans="1:16" ht="18" customHeight="1" x14ac:dyDescent="0.2">
      <c r="A7" s="150" t="s">
        <v>16</v>
      </c>
      <c r="B7" s="150" t="s">
        <v>281</v>
      </c>
      <c r="C7" s="150" t="s">
        <v>301</v>
      </c>
      <c r="D7" s="149" t="s">
        <v>301</v>
      </c>
      <c r="E7" s="189">
        <f>E6</f>
        <v>2682441.8640861488</v>
      </c>
      <c r="F7" s="189">
        <f>E7+F6</f>
        <v>6187271.9591545826</v>
      </c>
      <c r="G7" s="189">
        <f t="shared" ref="G7" si="0">F7+G6</f>
        <v>11723594.294222847</v>
      </c>
      <c r="H7" s="189">
        <f t="shared" ref="H7" si="1">G7+H6</f>
        <v>15103334.066989539</v>
      </c>
      <c r="I7" s="189">
        <f t="shared" ref="I7" si="2">H7+I6</f>
        <v>18666698.814646754</v>
      </c>
      <c r="J7" s="189">
        <f t="shared" ref="J7" si="3">I7+J6</f>
        <v>21349739.737012953</v>
      </c>
      <c r="K7" s="189">
        <f t="shared" ref="K7" si="4">J7+K6</f>
        <v>24429717.823817354</v>
      </c>
      <c r="L7" s="189">
        <f t="shared" ref="L7" si="5">K7+L6</f>
        <v>26906718.816159554</v>
      </c>
      <c r="M7" s="189">
        <f t="shared" ref="M7" si="6">L7+M6</f>
        <v>29312910.035344154</v>
      </c>
      <c r="N7" s="172"/>
    </row>
    <row r="8" spans="1:16" ht="18" customHeight="1" x14ac:dyDescent="0.2">
      <c r="A8" s="150" t="s">
        <v>17</v>
      </c>
      <c r="B8" s="150" t="s">
        <v>281</v>
      </c>
      <c r="C8" s="150" t="str">
        <f>D8</f>
        <v>RECEITA - BRUTA TOTAL</v>
      </c>
      <c r="D8" s="151" t="s">
        <v>263</v>
      </c>
      <c r="E8" s="189">
        <v>2682398.1800000002</v>
      </c>
      <c r="F8" s="189">
        <v>3504771.3</v>
      </c>
      <c r="G8" s="189">
        <f>CTRL_SS!Z44</f>
        <v>4819988.1303637233</v>
      </c>
      <c r="H8" s="189">
        <f>CTRL_SS!AF44</f>
        <v>3858000.8059420362</v>
      </c>
      <c r="I8" s="189">
        <f>CTRL_SS!AL44</f>
        <v>3172783.1449003131</v>
      </c>
      <c r="J8" s="189">
        <f>CTRL_SS!AR44</f>
        <v>2208432.1647103997</v>
      </c>
      <c r="K8" s="189">
        <v>3365394.4477781998</v>
      </c>
      <c r="L8" s="189">
        <v>2301390.7259525997</v>
      </c>
      <c r="M8" s="189">
        <v>2116461.8482776</v>
      </c>
      <c r="N8" s="172"/>
      <c r="P8" s="1" t="s">
        <v>254</v>
      </c>
    </row>
    <row r="9" spans="1:16" ht="18" customHeight="1" x14ac:dyDescent="0.2">
      <c r="A9" s="150" t="s">
        <v>18</v>
      </c>
      <c r="B9" s="150" t="s">
        <v>281</v>
      </c>
      <c r="C9" s="150" t="s">
        <v>290</v>
      </c>
      <c r="D9" s="151" t="s">
        <v>264</v>
      </c>
      <c r="E9" s="189">
        <f>E8</f>
        <v>2682398.1800000002</v>
      </c>
      <c r="F9" s="189">
        <f>E9+F8</f>
        <v>6187169.4800000004</v>
      </c>
      <c r="G9" s="189">
        <f t="shared" ref="G9:J9" si="7">F9+G8</f>
        <v>11007157.610363724</v>
      </c>
      <c r="H9" s="189">
        <f t="shared" si="7"/>
        <v>14865158.41630576</v>
      </c>
      <c r="I9" s="189">
        <f t="shared" si="7"/>
        <v>18037941.561206073</v>
      </c>
      <c r="J9" s="189">
        <f t="shared" si="7"/>
        <v>20246373.725916471</v>
      </c>
      <c r="K9" s="189">
        <f t="shared" ref="K9" si="8">J9+K8</f>
        <v>23611768.17369467</v>
      </c>
      <c r="L9" s="189">
        <f t="shared" ref="L9" si="9">K9+L8</f>
        <v>25913158.899647269</v>
      </c>
      <c r="M9" s="189">
        <f t="shared" ref="M9" si="10">L9+M8</f>
        <v>28029620.747924868</v>
      </c>
      <c r="N9" s="172"/>
    </row>
    <row r="10" spans="1:16" ht="18" customHeight="1" x14ac:dyDescent="0.2">
      <c r="A10" s="150" t="s">
        <v>19</v>
      </c>
      <c r="B10" s="150" t="s">
        <v>134</v>
      </c>
      <c r="C10" s="150" t="s">
        <v>134</v>
      </c>
      <c r="D10" s="151" t="s">
        <v>113</v>
      </c>
      <c r="E10" s="189">
        <f>E8*0.2545</f>
        <v>682670.33681000001</v>
      </c>
      <c r="F10" s="189">
        <f>F8*0.2545</f>
        <v>891964.29584999999</v>
      </c>
      <c r="G10" s="189">
        <f>G8*0.2545</f>
        <v>1226686.9791775676</v>
      </c>
      <c r="H10" s="189">
        <f>H8*0.2545</f>
        <v>981861.20511224819</v>
      </c>
      <c r="I10" s="189">
        <f>I8*0.2545</f>
        <v>807473.3103771297</v>
      </c>
      <c r="J10" s="189">
        <f>J8*0.2545</f>
        <v>562045.98591879674</v>
      </c>
      <c r="K10" s="189">
        <f>K8*0.2545</f>
        <v>856492.88695955183</v>
      </c>
      <c r="L10" s="189">
        <f>L8*0.2545</f>
        <v>585703.93975493661</v>
      </c>
      <c r="M10" s="189">
        <f>M8*0.2545</f>
        <v>538639.5403866492</v>
      </c>
      <c r="N10" s="235"/>
    </row>
    <row r="11" spans="1:16" ht="18" customHeight="1" x14ac:dyDescent="0.2">
      <c r="A11" s="150" t="s">
        <v>20</v>
      </c>
      <c r="B11" s="150" t="s">
        <v>134</v>
      </c>
      <c r="C11" s="150" t="s">
        <v>134</v>
      </c>
      <c r="D11" s="151" t="s">
        <v>112</v>
      </c>
      <c r="E11" s="189">
        <f>E8*0.0383</f>
        <v>102735.850294</v>
      </c>
      <c r="F11" s="189">
        <f>F8*0.0383</f>
        <v>134232.74078999998</v>
      </c>
      <c r="G11" s="189">
        <f>G8*0.0383</f>
        <v>184605.54539293059</v>
      </c>
      <c r="H11" s="189">
        <f>H8*0.0383</f>
        <v>147761.43086758</v>
      </c>
      <c r="I11" s="189">
        <f>I8*0.0383</f>
        <v>121517.594449682</v>
      </c>
      <c r="J11" s="189">
        <f>J8*0.0383</f>
        <v>84582.951908408315</v>
      </c>
      <c r="K11" s="189">
        <f>K8*0.0383</f>
        <v>128894.60734990505</v>
      </c>
      <c r="L11" s="189">
        <f>L8*0.0383</f>
        <v>88143.264803984566</v>
      </c>
      <c r="M11" s="189">
        <f>M8*0.0383</f>
        <v>81060.488789032082</v>
      </c>
      <c r="N11" s="235"/>
    </row>
    <row r="12" spans="1:16" ht="18" customHeight="1" x14ac:dyDescent="0.2">
      <c r="A12" s="150" t="s">
        <v>23</v>
      </c>
      <c r="B12" s="150" t="s">
        <v>281</v>
      </c>
      <c r="C12" s="150" t="str">
        <f>D12</f>
        <v>RECEITA - LÍQUIDA</v>
      </c>
      <c r="D12" s="151" t="s">
        <v>265</v>
      </c>
      <c r="E12" s="189">
        <f>E8-E10-E11</f>
        <v>1896991.9928960002</v>
      </c>
      <c r="F12" s="189">
        <f t="shared" ref="F12:J12" si="11">F8-F10-F11</f>
        <v>2478574.2633599997</v>
      </c>
      <c r="G12" s="189">
        <f t="shared" si="11"/>
        <v>3408695.6057932251</v>
      </c>
      <c r="H12" s="189">
        <f t="shared" si="11"/>
        <v>2728378.1699622078</v>
      </c>
      <c r="I12" s="189">
        <f t="shared" si="11"/>
        <v>2243792.2400735011</v>
      </c>
      <c r="J12" s="189">
        <f t="shared" si="11"/>
        <v>1561803.2268831949</v>
      </c>
      <c r="K12" s="189">
        <f t="shared" ref="K12" si="12">K8-K10-K11</f>
        <v>2380006.9534687428</v>
      </c>
      <c r="L12" s="189">
        <f t="shared" ref="L12:M12" si="13">L8-L10-L11</f>
        <v>1627543.5213936784</v>
      </c>
      <c r="M12" s="189">
        <f t="shared" si="13"/>
        <v>1496761.8191019187</v>
      </c>
      <c r="N12" s="235"/>
      <c r="P12" s="1" t="s">
        <v>254</v>
      </c>
    </row>
    <row r="13" spans="1:16" ht="18" customHeight="1" x14ac:dyDescent="0.2">
      <c r="A13" s="211" t="s">
        <v>303</v>
      </c>
      <c r="B13" s="211" t="s">
        <v>281</v>
      </c>
      <c r="C13" s="211" t="str">
        <f>D13</f>
        <v>RECEITA - LÍQUIDA ACUM</v>
      </c>
      <c r="D13" s="212" t="s">
        <v>277</v>
      </c>
      <c r="E13" s="213">
        <f>E12</f>
        <v>1896991.9928960002</v>
      </c>
      <c r="F13" s="213">
        <f>E13+F12</f>
        <v>4375566.2562560001</v>
      </c>
      <c r="G13" s="213">
        <f t="shared" ref="G13:J13" si="14">F13+G12</f>
        <v>7784261.8620492257</v>
      </c>
      <c r="H13" s="213">
        <f t="shared" si="14"/>
        <v>10512640.032011434</v>
      </c>
      <c r="I13" s="213">
        <f t="shared" si="14"/>
        <v>12756432.272084936</v>
      </c>
      <c r="J13" s="213">
        <f t="shared" si="14"/>
        <v>14318235.498968132</v>
      </c>
      <c r="K13" s="213">
        <f t="shared" ref="K13" si="15">J13+K12</f>
        <v>16698242.452436876</v>
      </c>
      <c r="L13" s="213">
        <f t="shared" ref="L13" si="16">K13+L12</f>
        <v>18325785.973830555</v>
      </c>
      <c r="M13" s="213">
        <f t="shared" ref="M13" si="17">L13+M12</f>
        <v>19822547.792932473</v>
      </c>
      <c r="N13" s="214"/>
    </row>
    <row r="14" spans="1:16" ht="20.100000000000001" customHeight="1" x14ac:dyDescent="0.2">
      <c r="A14" s="195">
        <v>2</v>
      </c>
      <c r="B14" s="196" t="s">
        <v>282</v>
      </c>
      <c r="C14" s="196" t="str">
        <f>D14</f>
        <v>CUSTOS - TOTAIS</v>
      </c>
      <c r="D14" s="197" t="s">
        <v>287</v>
      </c>
      <c r="E14" s="200">
        <f>E15+E41+E50+E58+E67</f>
        <v>309406.46749999997</v>
      </c>
      <c r="F14" s="200">
        <f t="shared" ref="F14:M14" si="18">F15+F41+F50+F58+F67</f>
        <v>336036.37700000004</v>
      </c>
      <c r="G14" s="200">
        <f t="shared" si="18"/>
        <v>2260758.4300000002</v>
      </c>
      <c r="H14" s="200">
        <f t="shared" si="18"/>
        <v>2363397.0499999998</v>
      </c>
      <c r="I14" s="200">
        <f t="shared" si="18"/>
        <v>2116954</v>
      </c>
      <c r="J14" s="200">
        <f t="shared" si="18"/>
        <v>1863133.9100000001</v>
      </c>
      <c r="K14" s="200">
        <f t="shared" si="18"/>
        <v>1908440.83</v>
      </c>
      <c r="L14" s="200">
        <f t="shared" si="18"/>
        <v>1364688.7910000002</v>
      </c>
      <c r="M14" s="200">
        <f t="shared" si="18"/>
        <v>2624547.0444999998</v>
      </c>
      <c r="N14" s="199"/>
      <c r="P14" s="1" t="s">
        <v>255</v>
      </c>
    </row>
    <row r="15" spans="1:16" ht="20.100000000000001" customHeight="1" outlineLevel="1" collapsed="1" x14ac:dyDescent="0.2">
      <c r="A15" s="206" t="s">
        <v>1</v>
      </c>
      <c r="B15" s="207" t="s">
        <v>282</v>
      </c>
      <c r="C15" s="207" t="s">
        <v>288</v>
      </c>
      <c r="D15" s="208" t="s">
        <v>261</v>
      </c>
      <c r="E15" s="209">
        <f>SUM(E16:E40)</f>
        <v>293831.86749999999</v>
      </c>
      <c r="F15" s="209">
        <f t="shared" ref="F15:M15" si="19">SUM(F16:F40)</f>
        <v>314766.10700000002</v>
      </c>
      <c r="G15" s="209">
        <f t="shared" si="19"/>
        <v>932779.57</v>
      </c>
      <c r="H15" s="209">
        <f t="shared" si="19"/>
        <v>846104.69000000006</v>
      </c>
      <c r="I15" s="209">
        <f t="shared" si="19"/>
        <v>858568.00000000012</v>
      </c>
      <c r="J15" s="209">
        <f t="shared" si="19"/>
        <v>857653.26000000013</v>
      </c>
      <c r="K15" s="209">
        <f t="shared" ref="K15:L15" si="20">SUM(K16:K40)</f>
        <v>857657.26000000013</v>
      </c>
      <c r="L15" s="209">
        <f t="shared" si="20"/>
        <v>578020.87100000004</v>
      </c>
      <c r="M15" s="209">
        <f t="shared" si="19"/>
        <v>846710.62450000003</v>
      </c>
      <c r="N15" s="210"/>
      <c r="P15" s="1" t="s">
        <v>254</v>
      </c>
    </row>
    <row r="16" spans="1:16" ht="12" hidden="1" customHeight="1" outlineLevel="2" x14ac:dyDescent="0.2">
      <c r="A16" s="148" t="s">
        <v>111</v>
      </c>
      <c r="B16" s="148" t="s">
        <v>134</v>
      </c>
      <c r="C16" s="148" t="s">
        <v>134</v>
      </c>
      <c r="D16" s="149" t="s">
        <v>110</v>
      </c>
      <c r="E16" s="190">
        <v>126749.35</v>
      </c>
      <c r="F16" s="190">
        <f>99224.02</f>
        <v>99224.02</v>
      </c>
      <c r="G16" s="190">
        <f>159075.77+212821.09</f>
        <v>371896.86</v>
      </c>
      <c r="H16" s="190">
        <f>134018.93+215661.94</f>
        <v>349680.87</v>
      </c>
      <c r="I16" s="326">
        <f>131750.7+216637.05</f>
        <v>348387.75</v>
      </c>
      <c r="J16" s="326">
        <f>131750.7+216637.05</f>
        <v>348387.75</v>
      </c>
      <c r="K16" s="326">
        <f>131750.7+216637.05</f>
        <v>348387.75</v>
      </c>
      <c r="L16" s="190">
        <f t="shared" ref="L16" si="21">131750.7</f>
        <v>131750.70000000001</v>
      </c>
      <c r="M16" s="154">
        <f t="shared" ref="M16" si="22">105258.89+65749.08+72790.69+15052.11</f>
        <v>258850.77000000002</v>
      </c>
      <c r="N16" s="155"/>
    </row>
    <row r="17" spans="1:14" ht="12" hidden="1" customHeight="1" outlineLevel="2" x14ac:dyDescent="0.2">
      <c r="A17" s="150" t="s">
        <v>11</v>
      </c>
      <c r="B17" s="150" t="s">
        <v>134</v>
      </c>
      <c r="C17" s="150" t="s">
        <v>134</v>
      </c>
      <c r="D17" s="151" t="s">
        <v>109</v>
      </c>
      <c r="E17" s="191">
        <f>E16*$N$17</f>
        <v>107736.94750000001</v>
      </c>
      <c r="F17" s="191">
        <f>F16*$N$17</f>
        <v>84340.417000000001</v>
      </c>
      <c r="G17" s="191">
        <f>42919.84+34341.72+272.4+843.43+812.66+95523.33</f>
        <v>174713.38</v>
      </c>
      <c r="H17" s="191">
        <f>42919.84+34341.72+272.4+843.43+812.66+95523.33</f>
        <v>174713.38</v>
      </c>
      <c r="I17" s="327">
        <v>174713.38</v>
      </c>
      <c r="J17" s="327">
        <v>174713.38</v>
      </c>
      <c r="K17" s="327">
        <v>174713.38</v>
      </c>
      <c r="L17" s="191">
        <v>164997.65100000001</v>
      </c>
      <c r="M17" s="156">
        <f>M16*$N$17</f>
        <v>220023.1545</v>
      </c>
      <c r="N17" s="157">
        <v>0.85</v>
      </c>
    </row>
    <row r="18" spans="1:14" ht="12" hidden="1" customHeight="1" outlineLevel="2" x14ac:dyDescent="0.2">
      <c r="A18" s="150" t="s">
        <v>12</v>
      </c>
      <c r="B18" s="150" t="s">
        <v>134</v>
      </c>
      <c r="C18" s="150" t="s">
        <v>134</v>
      </c>
      <c r="D18" s="151" t="s">
        <v>108</v>
      </c>
      <c r="E18" s="191">
        <f>7496.77</f>
        <v>7496.77</v>
      </c>
      <c r="F18" s="191"/>
      <c r="G18" s="191">
        <v>30577.5</v>
      </c>
      <c r="H18" s="191">
        <f>30577.5</f>
        <v>30577.5</v>
      </c>
      <c r="I18" s="327">
        <v>30577.5</v>
      </c>
      <c r="J18" s="327">
        <v>30578.5</v>
      </c>
      <c r="K18" s="327">
        <v>30579.5</v>
      </c>
      <c r="L18" s="191">
        <v>35124.869999999995</v>
      </c>
      <c r="M18" s="156">
        <f t="shared" ref="M18" si="23">15000+5000+5000+5000+3000</f>
        <v>33000</v>
      </c>
      <c r="N18" s="157"/>
    </row>
    <row r="19" spans="1:14" ht="12" hidden="1" customHeight="1" outlineLevel="2" x14ac:dyDescent="0.2">
      <c r="A19" s="150" t="s">
        <v>126</v>
      </c>
      <c r="B19" s="150" t="s">
        <v>134</v>
      </c>
      <c r="C19" s="150" t="s">
        <v>134</v>
      </c>
      <c r="D19" s="151" t="s">
        <v>107</v>
      </c>
      <c r="E19" s="191"/>
      <c r="F19" s="191"/>
      <c r="G19" s="191"/>
      <c r="H19" s="191"/>
      <c r="I19" s="327">
        <f>5503.56+31.52+5503.56+7375.81+1109.04+7204.26+1002.76+84.02</f>
        <v>27814.53</v>
      </c>
      <c r="J19" s="327">
        <f>5503.56+31.52+5503.56+7375.81+1109.04+7204.26+1002.76+84.02</f>
        <v>27814.53</v>
      </c>
      <c r="K19" s="327">
        <f>5503.56+31.52+5503.56+7375.81+1109.04+7204.26+1002.76+84.02</f>
        <v>27814.53</v>
      </c>
      <c r="L19" s="191"/>
      <c r="M19" s="156"/>
      <c r="N19" s="152"/>
    </row>
    <row r="20" spans="1:14" ht="12" hidden="1" customHeight="1" outlineLevel="2" x14ac:dyDescent="0.2">
      <c r="A20" s="150" t="s">
        <v>13</v>
      </c>
      <c r="B20" s="150" t="s">
        <v>134</v>
      </c>
      <c r="C20" s="150" t="s">
        <v>134</v>
      </c>
      <c r="D20" s="151" t="s">
        <v>369</v>
      </c>
      <c r="E20" s="191"/>
      <c r="F20" s="191"/>
      <c r="G20" s="191">
        <v>93580.68</v>
      </c>
      <c r="H20" s="191">
        <f>2968.5+9780.5+3668.5</f>
        <v>16417.5</v>
      </c>
      <c r="I20" s="327">
        <v>2968.5</v>
      </c>
      <c r="J20" s="327">
        <v>2969.5</v>
      </c>
      <c r="K20" s="327">
        <v>2970.5</v>
      </c>
      <c r="L20" s="191"/>
      <c r="M20" s="156"/>
      <c r="N20" s="152"/>
    </row>
    <row r="21" spans="1:14" ht="12" hidden="1" customHeight="1" outlineLevel="2" x14ac:dyDescent="0.2">
      <c r="A21" s="150" t="s">
        <v>14</v>
      </c>
      <c r="B21" s="150" t="s">
        <v>134</v>
      </c>
      <c r="C21" s="150" t="s">
        <v>134</v>
      </c>
      <c r="D21" s="151" t="s">
        <v>106</v>
      </c>
      <c r="E21" s="191"/>
      <c r="F21" s="191">
        <f>1528.8+705.6</f>
        <v>2234.4</v>
      </c>
      <c r="G21" s="191">
        <f>2307.09+906.69</f>
        <v>3213.78</v>
      </c>
      <c r="H21" s="191">
        <f>2830.34+1377.09</f>
        <v>4207.43</v>
      </c>
      <c r="I21" s="327">
        <f>3312.27+948.29</f>
        <v>4260.5599999999995</v>
      </c>
      <c r="J21" s="327">
        <f>3312.27+948.29</f>
        <v>4260.5599999999995</v>
      </c>
      <c r="K21" s="327">
        <f>3312.27+948.29</f>
        <v>4260.5599999999995</v>
      </c>
      <c r="L21" s="191">
        <f t="shared" ref="L21:M21" si="24">3312.27+948.29</f>
        <v>4260.5599999999995</v>
      </c>
      <c r="M21" s="191">
        <f t="shared" si="24"/>
        <v>4260.5599999999995</v>
      </c>
      <c r="N21" s="152"/>
    </row>
    <row r="22" spans="1:14" ht="12" hidden="1" customHeight="1" outlineLevel="2" x14ac:dyDescent="0.2">
      <c r="A22" s="150" t="s">
        <v>15</v>
      </c>
      <c r="B22" s="150" t="s">
        <v>134</v>
      </c>
      <c r="C22" s="150" t="s">
        <v>134</v>
      </c>
      <c r="D22" s="151" t="s">
        <v>105</v>
      </c>
      <c r="E22" s="191"/>
      <c r="F22" s="191">
        <f>103.03</f>
        <v>103.03</v>
      </c>
      <c r="G22" s="191"/>
      <c r="H22" s="191">
        <f>103.03</f>
        <v>103.03</v>
      </c>
      <c r="I22" s="327">
        <v>103.03</v>
      </c>
      <c r="J22" s="327">
        <v>103.03</v>
      </c>
      <c r="K22" s="327">
        <v>103.03</v>
      </c>
      <c r="L22" s="191"/>
      <c r="M22" s="156"/>
      <c r="N22" s="152"/>
    </row>
    <row r="23" spans="1:14" ht="12" hidden="1" customHeight="1" outlineLevel="2" x14ac:dyDescent="0.2">
      <c r="A23" s="150" t="s">
        <v>26</v>
      </c>
      <c r="B23" s="150" t="s">
        <v>134</v>
      </c>
      <c r="C23" s="150" t="s">
        <v>134</v>
      </c>
      <c r="D23" s="151" t="s">
        <v>104</v>
      </c>
      <c r="E23" s="191">
        <v>5000</v>
      </c>
      <c r="F23" s="191">
        <f>13589.98</f>
        <v>13589.98</v>
      </c>
      <c r="G23" s="191">
        <v>6000</v>
      </c>
      <c r="H23" s="191">
        <f>10185</f>
        <v>10185</v>
      </c>
      <c r="I23" s="327">
        <v>10185</v>
      </c>
      <c r="J23" s="327">
        <v>10185</v>
      </c>
      <c r="K23" s="327">
        <v>10185</v>
      </c>
      <c r="L23" s="191">
        <v>6000</v>
      </c>
      <c r="M23" s="156">
        <v>6000</v>
      </c>
      <c r="N23" s="152"/>
    </row>
    <row r="24" spans="1:14" ht="12" hidden="1" customHeight="1" outlineLevel="2" x14ac:dyDescent="0.2">
      <c r="A24" s="150" t="s">
        <v>127</v>
      </c>
      <c r="B24" s="150" t="s">
        <v>134</v>
      </c>
      <c r="C24" s="150" t="s">
        <v>134</v>
      </c>
      <c r="D24" s="151" t="s">
        <v>320</v>
      </c>
      <c r="E24" s="191">
        <f>199.2+149.6</f>
        <v>348.79999999999995</v>
      </c>
      <c r="F24" s="191">
        <f>1077+1330+798.84+854+3864+798.84+77859</f>
        <v>86581.68</v>
      </c>
      <c r="G24" s="191">
        <v>101248.03</v>
      </c>
      <c r="H24" s="191">
        <f>2000+2680+591+5962+91139.88</f>
        <v>102372.88</v>
      </c>
      <c r="I24" s="327">
        <f>82233.44+838.2+1988</f>
        <v>85059.64</v>
      </c>
      <c r="J24" s="327">
        <f>82233.44+838.2+1988</f>
        <v>85059.64</v>
      </c>
      <c r="K24" s="327">
        <f>82233.44+838.2+1988</f>
        <v>85059.64</v>
      </c>
      <c r="L24" s="191">
        <f t="shared" ref="L24:M24" si="25">102372.88+2082</f>
        <v>104454.88</v>
      </c>
      <c r="M24" s="191">
        <f t="shared" si="25"/>
        <v>104454.88</v>
      </c>
      <c r="N24" s="152"/>
    </row>
    <row r="25" spans="1:14" ht="12" hidden="1" customHeight="1" outlineLevel="2" x14ac:dyDescent="0.2">
      <c r="A25" s="150" t="s">
        <v>22</v>
      </c>
      <c r="B25" s="150" t="s">
        <v>134</v>
      </c>
      <c r="C25" s="150" t="s">
        <v>134</v>
      </c>
      <c r="D25" s="151" t="s">
        <v>321</v>
      </c>
      <c r="E25" s="191"/>
      <c r="F25" s="191">
        <f>245+3165.4</f>
        <v>3410.4</v>
      </c>
      <c r="G25" s="191">
        <f>22881.7+26400</f>
        <v>49281.7</v>
      </c>
      <c r="H25" s="191">
        <v>23000</v>
      </c>
      <c r="I25" s="327">
        <f>23000+2713.2</f>
        <v>25713.200000000001</v>
      </c>
      <c r="J25" s="327">
        <f>23000+2713.2</f>
        <v>25713.200000000001</v>
      </c>
      <c r="K25" s="327">
        <f>23000+2713.2</f>
        <v>25713.200000000001</v>
      </c>
      <c r="L25" s="191">
        <v>33049.270000000004</v>
      </c>
      <c r="M25" s="156">
        <f>15472+30944+3553.2</f>
        <v>49969.2</v>
      </c>
      <c r="N25" s="152"/>
    </row>
    <row r="26" spans="1:14" ht="12" hidden="1" customHeight="1" outlineLevel="2" x14ac:dyDescent="0.2">
      <c r="A26" s="150" t="s">
        <v>27</v>
      </c>
      <c r="B26" s="150" t="s">
        <v>134</v>
      </c>
      <c r="C26" s="150" t="s">
        <v>134</v>
      </c>
      <c r="D26" s="151" t="s">
        <v>322</v>
      </c>
      <c r="E26" s="191"/>
      <c r="F26" s="191">
        <f>3018.96</f>
        <v>3018.96</v>
      </c>
      <c r="G26" s="191">
        <f>26721.6+1723.68+710.22</f>
        <v>29155.5</v>
      </c>
      <c r="H26" s="191">
        <f>31142.67+1192.17</f>
        <v>32334.839999999997</v>
      </c>
      <c r="I26" s="327">
        <f>38756.45+1730.08</f>
        <v>40486.53</v>
      </c>
      <c r="J26" s="327">
        <f>38756.45+1730.08</f>
        <v>40486.53</v>
      </c>
      <c r="K26" s="327">
        <f>38756.45+1730.08</f>
        <v>40486.53</v>
      </c>
      <c r="L26" s="191">
        <v>3018.96</v>
      </c>
      <c r="M26" s="156">
        <f>9065.88+3021.96</f>
        <v>12087.84</v>
      </c>
      <c r="N26" s="152"/>
    </row>
    <row r="27" spans="1:14" ht="12" hidden="1" customHeight="1" outlineLevel="2" x14ac:dyDescent="0.2">
      <c r="A27" s="150" t="s">
        <v>128</v>
      </c>
      <c r="B27" s="150" t="s">
        <v>134</v>
      </c>
      <c r="C27" s="150" t="s">
        <v>134</v>
      </c>
      <c r="D27" s="151" t="s">
        <v>99</v>
      </c>
      <c r="E27" s="191"/>
      <c r="F27" s="191">
        <f>464.12</f>
        <v>464.12</v>
      </c>
      <c r="G27" s="191">
        <f>1177.28</f>
        <v>1177.28</v>
      </c>
      <c r="H27" s="191">
        <f>973.52</f>
        <v>973.52</v>
      </c>
      <c r="I27" s="327">
        <v>973.52</v>
      </c>
      <c r="J27" s="191">
        <v>973.52</v>
      </c>
      <c r="K27" s="191">
        <v>973.52</v>
      </c>
      <c r="L27" s="191">
        <v>973.52</v>
      </c>
      <c r="M27" s="191">
        <v>973.52</v>
      </c>
      <c r="N27" s="152"/>
    </row>
    <row r="28" spans="1:14" ht="12" hidden="1" customHeight="1" outlineLevel="2" x14ac:dyDescent="0.2">
      <c r="A28" s="150" t="s">
        <v>103</v>
      </c>
      <c r="B28" s="150" t="s">
        <v>134</v>
      </c>
      <c r="C28" s="150" t="s">
        <v>134</v>
      </c>
      <c r="D28" s="151" t="s">
        <v>97</v>
      </c>
      <c r="E28" s="191"/>
      <c r="F28" s="191"/>
      <c r="G28" s="191"/>
      <c r="H28" s="191"/>
      <c r="I28" s="191"/>
      <c r="J28" s="191"/>
      <c r="K28" s="191"/>
      <c r="L28" s="191"/>
      <c r="M28" s="156"/>
      <c r="N28" s="152"/>
    </row>
    <row r="29" spans="1:14" ht="12" hidden="1" customHeight="1" outlineLevel="2" x14ac:dyDescent="0.2">
      <c r="A29" s="150" t="s">
        <v>129</v>
      </c>
      <c r="B29" s="150" t="s">
        <v>134</v>
      </c>
      <c r="C29" s="150" t="s">
        <v>134</v>
      </c>
      <c r="D29" s="151" t="s">
        <v>95</v>
      </c>
      <c r="E29" s="191">
        <v>1500</v>
      </c>
      <c r="F29" s="191">
        <f>1600+4628.05+6798.5</f>
        <v>13026.55</v>
      </c>
      <c r="G29" s="191">
        <v>8355.48</v>
      </c>
      <c r="H29" s="191">
        <f>8620.12+2230.29</f>
        <v>10850.41</v>
      </c>
      <c r="I29" s="327">
        <f>331.5</f>
        <v>331.5</v>
      </c>
      <c r="J29" s="191">
        <v>7843.98</v>
      </c>
      <c r="K29" s="191">
        <v>7843.98</v>
      </c>
      <c r="L29" s="191">
        <v>7843.98</v>
      </c>
      <c r="M29" s="156">
        <v>10202.43</v>
      </c>
      <c r="N29" s="152"/>
    </row>
    <row r="30" spans="1:14" ht="12" hidden="1" customHeight="1" outlineLevel="2" x14ac:dyDescent="0.2">
      <c r="A30" s="150" t="s">
        <v>102</v>
      </c>
      <c r="B30" s="150" t="s">
        <v>134</v>
      </c>
      <c r="C30" s="150" t="s">
        <v>134</v>
      </c>
      <c r="D30" s="151" t="s">
        <v>119</v>
      </c>
      <c r="E30" s="191">
        <v>45000</v>
      </c>
      <c r="F30" s="191"/>
      <c r="G30" s="191">
        <f>1507.84+272.19+488.9+12240.1+4279.66+488.9+283.5</f>
        <v>19561.090000000004</v>
      </c>
      <c r="H30" s="191">
        <f>385.6+1299.9+1409+1262.73+2128+620+388.76+1158.51+438</f>
        <v>9090.5</v>
      </c>
      <c r="I30" s="327">
        <f>601.4+19915+438+4228.88+324.87+722.8+180</f>
        <v>26410.95</v>
      </c>
      <c r="J30" s="327">
        <f>19915+7200+4228.88+829+593.73+2364.44</f>
        <v>35131.050000000003</v>
      </c>
      <c r="K30" s="327">
        <f>19915+7200+4228.88+829+593.73+2364.44</f>
        <v>35131.050000000003</v>
      </c>
      <c r="L30" s="191">
        <v>20481.900000000001</v>
      </c>
      <c r="M30" s="156">
        <f>23080.5+18366.44</f>
        <v>41446.94</v>
      </c>
      <c r="N30" s="152"/>
    </row>
    <row r="31" spans="1:14" ht="12" hidden="1" customHeight="1" outlineLevel="2" x14ac:dyDescent="0.2">
      <c r="A31" s="150" t="s">
        <v>101</v>
      </c>
      <c r="B31" s="150" t="s">
        <v>134</v>
      </c>
      <c r="C31" s="150" t="s">
        <v>134</v>
      </c>
      <c r="D31" s="151" t="s">
        <v>92</v>
      </c>
      <c r="E31" s="191"/>
      <c r="F31" s="191">
        <f>1320+230</f>
        <v>1550</v>
      </c>
      <c r="G31" s="191">
        <f>180+230</f>
        <v>410</v>
      </c>
      <c r="H31" s="191">
        <f>230</f>
        <v>230</v>
      </c>
      <c r="I31" s="327">
        <f>180+230</f>
        <v>410</v>
      </c>
      <c r="J31" s="327">
        <f>141.7+230</f>
        <v>371.7</v>
      </c>
      <c r="K31" s="327">
        <f>141.7+230</f>
        <v>371.7</v>
      </c>
      <c r="L31" s="191">
        <f t="shared" ref="L31" si="26">180+230</f>
        <v>410</v>
      </c>
      <c r="M31" s="156">
        <v>650</v>
      </c>
      <c r="N31" s="152"/>
    </row>
    <row r="32" spans="1:14" ht="12" hidden="1" customHeight="1" outlineLevel="2" x14ac:dyDescent="0.2">
      <c r="A32" s="150" t="s">
        <v>130</v>
      </c>
      <c r="B32" s="150" t="s">
        <v>134</v>
      </c>
      <c r="C32" s="150" t="s">
        <v>134</v>
      </c>
      <c r="D32" s="151" t="s">
        <v>90</v>
      </c>
      <c r="E32" s="191"/>
      <c r="F32" s="191">
        <f>1050+678.35</f>
        <v>1728.35</v>
      </c>
      <c r="G32" s="191">
        <f>962.5</f>
        <v>962.5</v>
      </c>
      <c r="H32" s="191">
        <f>3574.14+157+400</f>
        <v>4131.1399999999994</v>
      </c>
      <c r="I32" s="327">
        <f>405</f>
        <v>405</v>
      </c>
      <c r="J32" s="327">
        <f>927.42+302.39</f>
        <v>1229.81</v>
      </c>
      <c r="K32" s="327">
        <f>927.42+302.39</f>
        <v>1229.81</v>
      </c>
      <c r="L32" s="191">
        <v>1000</v>
      </c>
      <c r="M32" s="156">
        <f>956.4+348.83+1713.26+251.77</f>
        <v>3270.2599999999998</v>
      </c>
      <c r="N32" s="152"/>
    </row>
    <row r="33" spans="1:16" ht="12" hidden="1" customHeight="1" outlineLevel="2" x14ac:dyDescent="0.2">
      <c r="A33" s="150" t="s">
        <v>100</v>
      </c>
      <c r="B33" s="150" t="s">
        <v>134</v>
      </c>
      <c r="C33" s="150" t="s">
        <v>134</v>
      </c>
      <c r="D33" s="151" t="s">
        <v>88</v>
      </c>
      <c r="E33" s="191"/>
      <c r="F33" s="191"/>
      <c r="G33" s="191"/>
      <c r="H33" s="191">
        <v>5000</v>
      </c>
      <c r="I33" s="327">
        <f>934+601.4</f>
        <v>1535.4</v>
      </c>
      <c r="J33" s="191">
        <v>5000</v>
      </c>
      <c r="K33" s="191">
        <v>5001</v>
      </c>
      <c r="L33" s="191">
        <v>5000</v>
      </c>
      <c r="M33" s="156">
        <v>5000</v>
      </c>
      <c r="N33" s="152"/>
    </row>
    <row r="34" spans="1:16" ht="12" hidden="1" customHeight="1" outlineLevel="2" x14ac:dyDescent="0.2">
      <c r="A34" s="150" t="s">
        <v>98</v>
      </c>
      <c r="B34" s="150" t="s">
        <v>134</v>
      </c>
      <c r="C34" s="150" t="s">
        <v>134</v>
      </c>
      <c r="D34" s="151" t="s">
        <v>87</v>
      </c>
      <c r="E34" s="191"/>
      <c r="F34" s="191">
        <f>3607.05</f>
        <v>3607.05</v>
      </c>
      <c r="G34" s="191">
        <f>3161.17+3074.74+3007.57+3511+2826.82</f>
        <v>15581.3</v>
      </c>
      <c r="H34" s="191">
        <f>3125.47+3196.5+3074.74+3692.77</f>
        <v>13089.48</v>
      </c>
      <c r="I34" s="329">
        <f t="shared" ref="I34:L34" si="27">15822.71+7528.95+1343.66+1343.66</f>
        <v>26038.98</v>
      </c>
      <c r="J34" s="156">
        <f t="shared" si="27"/>
        <v>26038.98</v>
      </c>
      <c r="K34" s="156">
        <f t="shared" si="27"/>
        <v>26038.98</v>
      </c>
      <c r="L34" s="156">
        <f t="shared" si="27"/>
        <v>26038.98</v>
      </c>
      <c r="M34" s="156">
        <f>15822.71+7528.95+1343.66+1343.66</f>
        <v>26038.98</v>
      </c>
      <c r="N34" s="152"/>
    </row>
    <row r="35" spans="1:16" ht="12" hidden="1" customHeight="1" outlineLevel="2" x14ac:dyDescent="0.2">
      <c r="A35" s="150" t="s">
        <v>96</v>
      </c>
      <c r="B35" s="150" t="s">
        <v>134</v>
      </c>
      <c r="C35" s="150" t="s">
        <v>134</v>
      </c>
      <c r="D35" s="151" t="s">
        <v>86</v>
      </c>
      <c r="E35" s="191"/>
      <c r="F35" s="191">
        <f>487.74+288.83+1110.58</f>
        <v>1887.1499999999999</v>
      </c>
      <c r="G35" s="191">
        <f>1491.94+7397.12+2124+1377.63+1306.8</f>
        <v>13697.489999999998</v>
      </c>
      <c r="H35" s="191">
        <f>2028.13+1067.2+9091.41+3268.1+2951.3</f>
        <v>18406.14</v>
      </c>
      <c r="I35" s="327">
        <f>2102.05+10757.93+717.65+1847.36+2525.64</f>
        <v>17950.63</v>
      </c>
      <c r="J35" s="327">
        <f>2388.02+7037.46+705.32+1105.8</f>
        <v>11236.599999999999</v>
      </c>
      <c r="K35" s="327">
        <f>2388.02+7037.46+705.32+1105.8</f>
        <v>11236.599999999999</v>
      </c>
      <c r="L35" s="191">
        <v>3076.26</v>
      </c>
      <c r="M35" s="156">
        <f>14565.62+4295.49</f>
        <v>18861.11</v>
      </c>
      <c r="N35" s="152"/>
    </row>
    <row r="36" spans="1:16" ht="12" hidden="1" customHeight="1" outlineLevel="2" x14ac:dyDescent="0.2">
      <c r="A36" s="150" t="s">
        <v>117</v>
      </c>
      <c r="B36" s="150" t="s">
        <v>134</v>
      </c>
      <c r="C36" s="150" t="s">
        <v>134</v>
      </c>
      <c r="D36" s="151" t="s">
        <v>85</v>
      </c>
      <c r="E36" s="191"/>
      <c r="F36" s="191"/>
      <c r="G36" s="191"/>
      <c r="H36" s="191">
        <v>522.4</v>
      </c>
      <c r="I36" s="327">
        <v>522.4</v>
      </c>
      <c r="J36" s="191">
        <v>522.4</v>
      </c>
      <c r="K36" s="191">
        <v>522.4</v>
      </c>
      <c r="L36" s="191">
        <v>522.4</v>
      </c>
      <c r="M36" s="156">
        <v>522.4</v>
      </c>
      <c r="N36" s="152"/>
    </row>
    <row r="37" spans="1:16" ht="12" hidden="1" customHeight="1" outlineLevel="2" x14ac:dyDescent="0.2">
      <c r="A37" s="150" t="s">
        <v>94</v>
      </c>
      <c r="B37" s="150" t="s">
        <v>134</v>
      </c>
      <c r="C37" s="150" t="s">
        <v>134</v>
      </c>
      <c r="D37" s="151" t="s">
        <v>84</v>
      </c>
      <c r="E37" s="191"/>
      <c r="F37" s="191"/>
      <c r="G37" s="191">
        <f>1400+7400</f>
        <v>8800</v>
      </c>
      <c r="H37" s="191">
        <f>1890.36+1400+7400+1275.37+156</f>
        <v>12121.73</v>
      </c>
      <c r="I37" s="327">
        <v>12000</v>
      </c>
      <c r="J37" s="191">
        <v>12000</v>
      </c>
      <c r="K37" s="191">
        <v>12000</v>
      </c>
      <c r="L37" s="191">
        <v>12000</v>
      </c>
      <c r="M37" s="156">
        <v>12000</v>
      </c>
      <c r="N37" s="152"/>
    </row>
    <row r="38" spans="1:16" ht="12" hidden="1" customHeight="1" outlineLevel="2" x14ac:dyDescent="0.2">
      <c r="A38" s="150" t="s">
        <v>93</v>
      </c>
      <c r="B38" s="150" t="s">
        <v>134</v>
      </c>
      <c r="C38" s="150" t="s">
        <v>134</v>
      </c>
      <c r="D38" s="151" t="s">
        <v>83</v>
      </c>
      <c r="E38" s="191"/>
      <c r="F38" s="191"/>
      <c r="G38" s="191">
        <f>2940+540+1087</f>
        <v>4567</v>
      </c>
      <c r="H38" s="191">
        <v>6000</v>
      </c>
      <c r="I38" s="191"/>
      <c r="J38" s="327">
        <f>5780.16</f>
        <v>5780.16</v>
      </c>
      <c r="K38" s="327">
        <f>5780.16</f>
        <v>5780.16</v>
      </c>
      <c r="L38" s="191">
        <v>6000</v>
      </c>
      <c r="M38" s="156">
        <v>6000</v>
      </c>
      <c r="N38" s="152"/>
    </row>
    <row r="39" spans="1:16" ht="12" hidden="1" customHeight="1" outlineLevel="2" x14ac:dyDescent="0.2">
      <c r="A39" s="150" t="s">
        <v>91</v>
      </c>
      <c r="B39" s="150" t="s">
        <v>134</v>
      </c>
      <c r="C39" s="150" t="s">
        <v>134</v>
      </c>
      <c r="D39" s="151" t="s">
        <v>82</v>
      </c>
      <c r="E39" s="191"/>
      <c r="F39" s="191"/>
      <c r="G39" s="191"/>
      <c r="H39" s="191">
        <f>248.47+248.47</f>
        <v>496.94</v>
      </c>
      <c r="I39" s="327">
        <f>230</f>
        <v>230</v>
      </c>
      <c r="J39" s="191">
        <v>496.94</v>
      </c>
      <c r="K39" s="191">
        <v>497.94</v>
      </c>
      <c r="L39" s="191">
        <v>496.94</v>
      </c>
      <c r="M39" s="156">
        <f>1330.11+248.47</f>
        <v>1578.58</v>
      </c>
      <c r="N39" s="152"/>
    </row>
    <row r="40" spans="1:16" ht="12" hidden="1" customHeight="1" outlineLevel="2" x14ac:dyDescent="0.2">
      <c r="A40" s="153" t="s">
        <v>89</v>
      </c>
      <c r="B40" s="153" t="s">
        <v>134</v>
      </c>
      <c r="C40" s="153" t="s">
        <v>134</v>
      </c>
      <c r="D40" s="158" t="s">
        <v>81</v>
      </c>
      <c r="E40" s="192"/>
      <c r="F40" s="192"/>
      <c r="G40" s="192"/>
      <c r="H40" s="192">
        <f>16500+5100</f>
        <v>21600</v>
      </c>
      <c r="I40" s="328">
        <f>5500+15990</f>
        <v>21490</v>
      </c>
      <c r="J40" s="328">
        <f>756.5</f>
        <v>756.5</v>
      </c>
      <c r="K40" s="328">
        <f>756.5</f>
        <v>756.5</v>
      </c>
      <c r="L40" s="192">
        <v>11520</v>
      </c>
      <c r="M40" s="159">
        <v>31520</v>
      </c>
      <c r="N40" s="160"/>
    </row>
    <row r="41" spans="1:16" ht="20.100000000000001" customHeight="1" outlineLevel="1" collapsed="1" x14ac:dyDescent="0.2">
      <c r="A41" s="206" t="s">
        <v>2</v>
      </c>
      <c r="B41" s="207" t="s">
        <v>282</v>
      </c>
      <c r="C41" s="207" t="s">
        <v>283</v>
      </c>
      <c r="D41" s="208" t="s">
        <v>273</v>
      </c>
      <c r="E41" s="209">
        <f>SUM(E42:E49)</f>
        <v>0</v>
      </c>
      <c r="F41" s="209">
        <f t="shared" ref="F41:M41" si="28">SUM(F42:F49)</f>
        <v>2118.21</v>
      </c>
      <c r="G41" s="209">
        <f t="shared" si="28"/>
        <v>294229.71999999997</v>
      </c>
      <c r="H41" s="209">
        <f t="shared" si="28"/>
        <v>563111.36999999988</v>
      </c>
      <c r="I41" s="209">
        <f t="shared" si="28"/>
        <v>625726.35</v>
      </c>
      <c r="J41" s="209">
        <f t="shared" si="28"/>
        <v>387989.16</v>
      </c>
      <c r="K41" s="209">
        <f t="shared" ref="K41:L41" si="29">SUM(K42:K49)</f>
        <v>433154.58</v>
      </c>
      <c r="L41" s="209">
        <f t="shared" si="29"/>
        <v>333154.58</v>
      </c>
      <c r="M41" s="209">
        <f t="shared" si="28"/>
        <v>481208.52999999997</v>
      </c>
      <c r="N41" s="210"/>
      <c r="P41" s="1" t="s">
        <v>254</v>
      </c>
    </row>
    <row r="42" spans="1:16" ht="12" hidden="1" customHeight="1" outlineLevel="2" x14ac:dyDescent="0.2">
      <c r="A42" s="148" t="s">
        <v>80</v>
      </c>
      <c r="B42" s="148" t="s">
        <v>134</v>
      </c>
      <c r="C42" s="148" t="s">
        <v>134</v>
      </c>
      <c r="D42" s="149" t="s">
        <v>79</v>
      </c>
      <c r="E42" s="190"/>
      <c r="F42" s="190">
        <f>795.31+1322.9</f>
        <v>2118.21</v>
      </c>
      <c r="G42" s="190">
        <f>939.1+260+124.6+140+2180+538+1036+480+870.2+871+278.8+855+2460.6+1131.3+129.77+135+1473.34</f>
        <v>13902.710000000001</v>
      </c>
      <c r="H42" s="190">
        <f>420+257+269.82+380+409+190+1542+1473.33+570</f>
        <v>5511.15</v>
      </c>
      <c r="I42" s="326">
        <f>934.95+570+960+269.04+540+1100+627.16+4637.8+1900+576+390+6603.22</f>
        <v>19108.170000000002</v>
      </c>
      <c r="J42" s="326">
        <f>385.89+175+710</f>
        <v>1270.8899999999999</v>
      </c>
      <c r="K42" s="190">
        <v>12383.33</v>
      </c>
      <c r="L42" s="190">
        <v>12383.33</v>
      </c>
      <c r="M42" s="154">
        <f>31074.4+13386.34+1007.2</f>
        <v>45467.94</v>
      </c>
      <c r="N42" s="162"/>
    </row>
    <row r="43" spans="1:16" ht="12" hidden="1" customHeight="1" outlineLevel="2" x14ac:dyDescent="0.2">
      <c r="A43" s="150" t="s">
        <v>78</v>
      </c>
      <c r="B43" s="150" t="s">
        <v>134</v>
      </c>
      <c r="C43" s="150" t="s">
        <v>134</v>
      </c>
      <c r="D43" s="151" t="s">
        <v>77</v>
      </c>
      <c r="E43" s="191"/>
      <c r="F43" s="191"/>
      <c r="G43" s="191">
        <f>248887.72+1036+3750</f>
        <v>253673.72</v>
      </c>
      <c r="H43" s="191">
        <f>60000+4221.21+23644.48+124443.86</f>
        <v>212309.55</v>
      </c>
      <c r="I43" s="327">
        <f>46431.18+4221.21+23644.48+1127.63+53881.28+1356+124443.85</f>
        <v>255105.63</v>
      </c>
      <c r="J43" s="327">
        <f>4221.21+23644.48+6900+3995.08+53881.29+19062.13</f>
        <v>111704.19</v>
      </c>
      <c r="K43" s="191">
        <f>6603.22+4221.21+23644.21+53881.28+124443.85</f>
        <v>212793.77000000002</v>
      </c>
      <c r="L43" s="191">
        <v>112793.77</v>
      </c>
      <c r="M43" s="156">
        <f>31182.25+3649.65</f>
        <v>34831.9</v>
      </c>
      <c r="N43" s="152"/>
    </row>
    <row r="44" spans="1:16" ht="12" hidden="1" customHeight="1" outlineLevel="2" x14ac:dyDescent="0.2">
      <c r="A44" s="150" t="s">
        <v>76</v>
      </c>
      <c r="B44" s="150" t="s">
        <v>134</v>
      </c>
      <c r="C44" s="150" t="s">
        <v>134</v>
      </c>
      <c r="D44" s="151" t="s">
        <v>75</v>
      </c>
      <c r="E44" s="191"/>
      <c r="F44" s="191"/>
      <c r="G44" s="191">
        <f>2522.78+1158.51+324+16320</f>
        <v>20325.29</v>
      </c>
      <c r="H44" s="191">
        <f>940+627.5+1306.2+2573.34+357.8+16783.91+4347.24+16320+5159.34</f>
        <v>48415.33</v>
      </c>
      <c r="I44" s="327">
        <f>5159.35+2573.34+2945.24+1600+7228.75+399.78+3675+1545.6+627.5+219+400+300+39217.2+11280+18162.34+1158.51+160.8+1184.47+1996.2+16783.89+400+39217.2+300+18162.33+4347.2+16320+5159.35</f>
        <v>200523.05000000002</v>
      </c>
      <c r="J44" s="327">
        <f>11280+2573.34+159.9+2945.24+7228.75+4260+485.48+1761.35+1393.1+159.36+1300+897+16783.89</f>
        <v>51227.409999999996</v>
      </c>
      <c r="K44" s="191">
        <v>3276</v>
      </c>
      <c r="L44" s="191">
        <v>3276</v>
      </c>
      <c r="M44" s="156">
        <f>13681.06+350+4170.63</f>
        <v>18201.689999999999</v>
      </c>
      <c r="N44" s="152"/>
    </row>
    <row r="45" spans="1:16" ht="12" hidden="1" customHeight="1" outlineLevel="2" x14ac:dyDescent="0.2">
      <c r="A45" s="150" t="s">
        <v>74</v>
      </c>
      <c r="B45" s="150" t="s">
        <v>134</v>
      </c>
      <c r="C45" s="150" t="s">
        <v>134</v>
      </c>
      <c r="D45" s="151" t="s">
        <v>73</v>
      </c>
      <c r="E45" s="191"/>
      <c r="F45" s="191"/>
      <c r="G45" s="191">
        <f>1232+616</f>
        <v>1848</v>
      </c>
      <c r="H45" s="191">
        <f>934.95+240+4282+5751.16+6603.21+534.84+3529.91</f>
        <v>21876.07</v>
      </c>
      <c r="I45" s="327">
        <f>60000+6603.22+2278.11+1098.81+1621.4+930+3784.57+2920.26+557.95+3123.6+304.63+680+139.9</f>
        <v>84042.45</v>
      </c>
      <c r="J45" s="327">
        <f>4174.44+1132.7+6900+1301.5+3056.76+1282.08+558.35+3784.58+2652.4+3423.89+1533.54</f>
        <v>29800.240000000005</v>
      </c>
      <c r="K45" s="191">
        <v>6957.4</v>
      </c>
      <c r="L45" s="191">
        <v>6957.4</v>
      </c>
      <c r="M45" s="156">
        <f>128045.36+1917.61+17722+5828</f>
        <v>153512.97</v>
      </c>
      <c r="N45" s="152"/>
    </row>
    <row r="46" spans="1:16" ht="12" hidden="1" customHeight="1" outlineLevel="2" x14ac:dyDescent="0.2">
      <c r="A46" s="150" t="s">
        <v>72</v>
      </c>
      <c r="B46" s="150" t="s">
        <v>134</v>
      </c>
      <c r="C46" s="150" t="s">
        <v>134</v>
      </c>
      <c r="D46" s="151" t="s">
        <v>71</v>
      </c>
      <c r="E46" s="191"/>
      <c r="F46" s="191"/>
      <c r="G46" s="191"/>
      <c r="H46" s="191">
        <f>252+882.29+902</f>
        <v>2036.29</v>
      </c>
      <c r="I46" s="327">
        <f>1071.24+1266.49+3626.04+2747.19+210.27+12006+3696+854+214.4+198+100.8</f>
        <v>25990.430000000004</v>
      </c>
      <c r="J46" s="327">
        <f>12006+417.71+235.1+650</f>
        <v>13308.81</v>
      </c>
      <c r="K46" s="191">
        <v>2059.88</v>
      </c>
      <c r="L46" s="191">
        <v>2059.88</v>
      </c>
      <c r="M46" s="156">
        <f>15541.28+2699.53</f>
        <v>18240.810000000001</v>
      </c>
      <c r="N46" s="152"/>
    </row>
    <row r="47" spans="1:16" ht="12" hidden="1" customHeight="1" outlineLevel="2" x14ac:dyDescent="0.2">
      <c r="A47" s="150" t="s">
        <v>70</v>
      </c>
      <c r="B47" s="150" t="s">
        <v>134</v>
      </c>
      <c r="C47" s="150" t="s">
        <v>134</v>
      </c>
      <c r="D47" s="151" t="s">
        <v>123</v>
      </c>
      <c r="E47" s="191"/>
      <c r="F47" s="191"/>
      <c r="G47" s="191"/>
      <c r="H47" s="191"/>
      <c r="I47" s="191"/>
      <c r="J47" s="156">
        <f t="shared" ref="J47:L47" si="30">109653.45+35187.6</f>
        <v>144841.04999999999</v>
      </c>
      <c r="K47" s="156">
        <f t="shared" si="30"/>
        <v>144841.04999999999</v>
      </c>
      <c r="L47" s="156">
        <f t="shared" si="30"/>
        <v>144841.04999999999</v>
      </c>
      <c r="M47" s="156">
        <f>109653.45+35187.6</f>
        <v>144841.04999999999</v>
      </c>
      <c r="N47" s="152"/>
    </row>
    <row r="48" spans="1:16" ht="12" hidden="1" customHeight="1" outlineLevel="2" x14ac:dyDescent="0.2">
      <c r="A48" s="150" t="s">
        <v>69</v>
      </c>
      <c r="B48" s="150" t="s">
        <v>134</v>
      </c>
      <c r="C48" s="150" t="s">
        <v>134</v>
      </c>
      <c r="D48" s="151" t="s">
        <v>122</v>
      </c>
      <c r="E48" s="191"/>
      <c r="F48" s="191"/>
      <c r="G48" s="191"/>
      <c r="H48" s="191">
        <f>268912.98</f>
        <v>268912.98</v>
      </c>
      <c r="I48" s="327">
        <f>28550</f>
        <v>28550</v>
      </c>
      <c r="J48" s="191">
        <f>28550</f>
        <v>28550</v>
      </c>
      <c r="K48" s="191">
        <f>28550</f>
        <v>28550</v>
      </c>
      <c r="L48" s="191">
        <f>28550</f>
        <v>28550</v>
      </c>
      <c r="M48" s="191">
        <f>28550</f>
        <v>28550</v>
      </c>
      <c r="N48" s="152"/>
    </row>
    <row r="49" spans="1:16" ht="12" hidden="1" customHeight="1" outlineLevel="2" x14ac:dyDescent="0.2">
      <c r="A49" s="153" t="s">
        <v>68</v>
      </c>
      <c r="B49" s="153" t="s">
        <v>134</v>
      </c>
      <c r="C49" s="153" t="s">
        <v>134</v>
      </c>
      <c r="D49" s="158" t="s">
        <v>67</v>
      </c>
      <c r="E49" s="192"/>
      <c r="F49" s="192"/>
      <c r="G49" s="192">
        <f>2730+1750</f>
        <v>4480</v>
      </c>
      <c r="H49" s="192">
        <f>3770+280</f>
        <v>4050</v>
      </c>
      <c r="I49" s="328">
        <f>314.07+1928.82+236.99+2739.39+3135+2076.02+503+1473.33</f>
        <v>12406.62</v>
      </c>
      <c r="J49" s="328">
        <f>856+504.25+840+753+1569.5+183+2120.82+460</f>
        <v>7286.57</v>
      </c>
      <c r="K49" s="192">
        <f t="shared" ref="K49:L49" si="31">18116.51+4176.64</f>
        <v>22293.149999999998</v>
      </c>
      <c r="L49" s="192">
        <f t="shared" si="31"/>
        <v>22293.149999999998</v>
      </c>
      <c r="M49" s="159">
        <f>14089.16+23473.01</f>
        <v>37562.17</v>
      </c>
      <c r="N49" s="160"/>
    </row>
    <row r="50" spans="1:16" ht="20.100000000000001" customHeight="1" outlineLevel="1" collapsed="1" x14ac:dyDescent="0.2">
      <c r="A50" s="206" t="s">
        <v>3</v>
      </c>
      <c r="B50" s="207" t="s">
        <v>282</v>
      </c>
      <c r="C50" s="207" t="str">
        <f>D50</f>
        <v>CUSTOS - SUBCONTRATAÇÕES</v>
      </c>
      <c r="D50" s="208" t="s">
        <v>274</v>
      </c>
      <c r="E50" s="209">
        <f>SUM(E51:E57)</f>
        <v>0</v>
      </c>
      <c r="F50" s="209">
        <f t="shared" ref="F50:M50" si="32">SUM(F51:F57)</f>
        <v>3000</v>
      </c>
      <c r="G50" s="209">
        <f t="shared" si="32"/>
        <v>628055.43999999994</v>
      </c>
      <c r="H50" s="209">
        <f t="shared" si="32"/>
        <v>586935.06999999995</v>
      </c>
      <c r="I50" s="209">
        <f t="shared" si="32"/>
        <v>202924.25</v>
      </c>
      <c r="J50" s="209">
        <f t="shared" si="32"/>
        <v>174201</v>
      </c>
      <c r="K50" s="209">
        <f t="shared" ref="K50:L50" si="33">SUM(K51:K57)</f>
        <v>174338.5</v>
      </c>
      <c r="L50" s="209">
        <f t="shared" si="33"/>
        <v>174338.5</v>
      </c>
      <c r="M50" s="209">
        <f t="shared" si="32"/>
        <v>694987.48</v>
      </c>
      <c r="N50" s="210"/>
      <c r="P50" s="1" t="s">
        <v>254</v>
      </c>
    </row>
    <row r="51" spans="1:16" ht="12" hidden="1" customHeight="1" outlineLevel="2" x14ac:dyDescent="0.2">
      <c r="A51" s="148" t="s">
        <v>66</v>
      </c>
      <c r="B51" s="148" t="s">
        <v>134</v>
      </c>
      <c r="C51" s="148" t="s">
        <v>134</v>
      </c>
      <c r="D51" s="149" t="s">
        <v>65</v>
      </c>
      <c r="E51" s="190"/>
      <c r="F51" s="190">
        <f>3000</f>
        <v>3000</v>
      </c>
      <c r="G51" s="190">
        <f>3000+5000+5000+5000</f>
        <v>18000</v>
      </c>
      <c r="H51" s="190">
        <f>6000+5000</f>
        <v>11000</v>
      </c>
      <c r="I51" s="190"/>
      <c r="J51" s="326">
        <f>5000+5000+2100+2100</f>
        <v>14200</v>
      </c>
      <c r="K51" s="190">
        <v>14337.5</v>
      </c>
      <c r="L51" s="190">
        <v>14337.5</v>
      </c>
      <c r="M51" s="154">
        <f>18800+1000</f>
        <v>19800</v>
      </c>
      <c r="N51" s="162"/>
    </row>
    <row r="52" spans="1:16" ht="12" hidden="1" customHeight="1" outlineLevel="2" x14ac:dyDescent="0.2">
      <c r="A52" s="150" t="s">
        <v>188</v>
      </c>
      <c r="B52" s="150" t="s">
        <v>134</v>
      </c>
      <c r="C52" s="150" t="s">
        <v>134</v>
      </c>
      <c r="D52" s="151" t="s">
        <v>63</v>
      </c>
      <c r="E52" s="191"/>
      <c r="F52" s="191"/>
      <c r="G52" s="191">
        <f>648</f>
        <v>648</v>
      </c>
      <c r="H52" s="191">
        <f>2640</f>
        <v>2640</v>
      </c>
      <c r="I52" s="327">
        <f>6301.71</f>
        <v>6301.71</v>
      </c>
      <c r="J52" s="191">
        <v>5000</v>
      </c>
      <c r="K52" s="191">
        <v>5000</v>
      </c>
      <c r="L52" s="191">
        <v>5000</v>
      </c>
      <c r="M52" s="156">
        <v>5000</v>
      </c>
      <c r="N52" s="152"/>
    </row>
    <row r="53" spans="1:16" ht="12" hidden="1" customHeight="1" outlineLevel="2" x14ac:dyDescent="0.2">
      <c r="A53" s="150" t="s">
        <v>189</v>
      </c>
      <c r="B53" s="150" t="s">
        <v>134</v>
      </c>
      <c r="C53" s="150" t="s">
        <v>134</v>
      </c>
      <c r="D53" s="151" t="s">
        <v>61</v>
      </c>
      <c r="E53" s="191"/>
      <c r="F53" s="191"/>
      <c r="G53" s="191"/>
      <c r="H53" s="191">
        <f>268912.98</f>
        <v>268912.98</v>
      </c>
      <c r="I53" s="191"/>
      <c r="J53" s="191"/>
      <c r="K53" s="191"/>
      <c r="L53" s="191"/>
      <c r="M53" s="156">
        <v>10000</v>
      </c>
      <c r="N53" s="152"/>
    </row>
    <row r="54" spans="1:16" ht="12" hidden="1" customHeight="1" outlineLevel="2" x14ac:dyDescent="0.2">
      <c r="A54" s="150" t="s">
        <v>64</v>
      </c>
      <c r="B54" s="150" t="s">
        <v>134</v>
      </c>
      <c r="C54" s="150" t="s">
        <v>134</v>
      </c>
      <c r="D54" s="151" t="s">
        <v>59</v>
      </c>
      <c r="E54" s="191"/>
      <c r="F54" s="191"/>
      <c r="G54" s="191">
        <f>67925.28+129874.5+101887.9+254719.76</f>
        <v>554407.43999999994</v>
      </c>
      <c r="H54" s="191">
        <f>254719.76</f>
        <v>254719.76</v>
      </c>
      <c r="I54" s="327">
        <f>151129</f>
        <v>151129</v>
      </c>
      <c r="J54" s="191">
        <v>50000</v>
      </c>
      <c r="K54" s="191">
        <v>50000</v>
      </c>
      <c r="L54" s="191">
        <v>50000</v>
      </c>
      <c r="M54" s="156">
        <v>300000</v>
      </c>
      <c r="N54" s="152"/>
    </row>
    <row r="55" spans="1:16" ht="12" hidden="1" customHeight="1" outlineLevel="2" x14ac:dyDescent="0.2">
      <c r="A55" s="150" t="s">
        <v>62</v>
      </c>
      <c r="B55" s="150" t="s">
        <v>134</v>
      </c>
      <c r="C55" s="150" t="s">
        <v>134</v>
      </c>
      <c r="D55" s="151" t="s">
        <v>58</v>
      </c>
      <c r="E55" s="191"/>
      <c r="F55" s="191"/>
      <c r="G55" s="191"/>
      <c r="H55" s="191"/>
      <c r="I55" s="327">
        <f>44363.5</f>
        <v>44363.5</v>
      </c>
      <c r="J55" s="191">
        <v>50001</v>
      </c>
      <c r="K55" s="191">
        <v>50001</v>
      </c>
      <c r="L55" s="191">
        <v>50001</v>
      </c>
      <c r="M55" s="156">
        <f t="shared" ref="M55" si="34">32448.48+4739</f>
        <v>37187.479999999996</v>
      </c>
      <c r="N55" s="152"/>
    </row>
    <row r="56" spans="1:16" ht="12" hidden="1" customHeight="1" outlineLevel="2" x14ac:dyDescent="0.2">
      <c r="A56" s="150" t="s">
        <v>190</v>
      </c>
      <c r="B56" s="150" t="s">
        <v>134</v>
      </c>
      <c r="C56" s="150" t="s">
        <v>134</v>
      </c>
      <c r="D56" s="151" t="s">
        <v>57</v>
      </c>
      <c r="E56" s="191"/>
      <c r="F56" s="191"/>
      <c r="G56" s="191">
        <v>50000</v>
      </c>
      <c r="H56" s="191">
        <f>44054.04+608.29</f>
        <v>44662.33</v>
      </c>
      <c r="I56" s="327">
        <f>1130.04</f>
        <v>1130.04</v>
      </c>
      <c r="J56" s="191">
        <v>50000</v>
      </c>
      <c r="K56" s="191">
        <v>50000</v>
      </c>
      <c r="L56" s="191">
        <v>50000</v>
      </c>
      <c r="M56" s="156">
        <v>320000</v>
      </c>
      <c r="N56" s="152"/>
    </row>
    <row r="57" spans="1:16" ht="12" hidden="1" customHeight="1" outlineLevel="2" x14ac:dyDescent="0.2">
      <c r="A57" s="153" t="s">
        <v>60</v>
      </c>
      <c r="B57" s="153" t="s">
        <v>134</v>
      </c>
      <c r="C57" s="153" t="s">
        <v>134</v>
      </c>
      <c r="D57" s="158" t="s">
        <v>56</v>
      </c>
      <c r="E57" s="192"/>
      <c r="F57" s="192"/>
      <c r="G57" s="192">
        <v>5000</v>
      </c>
      <c r="H57" s="192">
        <v>5000</v>
      </c>
      <c r="I57" s="192"/>
      <c r="J57" s="192">
        <v>5000</v>
      </c>
      <c r="K57" s="192">
        <v>5000</v>
      </c>
      <c r="L57" s="192">
        <v>5000</v>
      </c>
      <c r="M57" s="159">
        <v>3000</v>
      </c>
      <c r="N57" s="160"/>
    </row>
    <row r="58" spans="1:16" ht="20.100000000000001" customHeight="1" outlineLevel="1" collapsed="1" x14ac:dyDescent="0.2">
      <c r="A58" s="206" t="s">
        <v>4</v>
      </c>
      <c r="B58" s="207" t="s">
        <v>282</v>
      </c>
      <c r="C58" s="207" t="s">
        <v>284</v>
      </c>
      <c r="D58" s="208" t="s">
        <v>275</v>
      </c>
      <c r="E58" s="209">
        <f>SUM(E59:E66)</f>
        <v>1000</v>
      </c>
      <c r="F58" s="209">
        <f t="shared" ref="F58:M58" si="35">SUM(F59:F66)</f>
        <v>1577.46</v>
      </c>
      <c r="G58" s="209">
        <f t="shared" si="35"/>
        <v>391119.10000000003</v>
      </c>
      <c r="H58" s="209">
        <f t="shared" si="35"/>
        <v>367245.92</v>
      </c>
      <c r="I58" s="209">
        <f t="shared" si="35"/>
        <v>429735.4</v>
      </c>
      <c r="J58" s="209">
        <f t="shared" si="35"/>
        <v>443290.49000000005</v>
      </c>
      <c r="K58" s="209">
        <f t="shared" ref="K58:L58" si="36">SUM(K59:K66)</f>
        <v>443290.49000000005</v>
      </c>
      <c r="L58" s="209">
        <f t="shared" si="36"/>
        <v>279174.84000000003</v>
      </c>
      <c r="M58" s="209">
        <f t="shared" si="35"/>
        <v>601640.41</v>
      </c>
      <c r="N58" s="210"/>
      <c r="P58" s="1" t="s">
        <v>254</v>
      </c>
    </row>
    <row r="59" spans="1:16" ht="12" hidden="1" customHeight="1" outlineLevel="2" x14ac:dyDescent="0.2">
      <c r="A59" s="148" t="s">
        <v>55</v>
      </c>
      <c r="B59" s="148" t="s">
        <v>134</v>
      </c>
      <c r="C59" s="148" t="s">
        <v>134</v>
      </c>
      <c r="D59" s="149" t="s">
        <v>54</v>
      </c>
      <c r="E59" s="190"/>
      <c r="F59" s="190"/>
      <c r="G59" s="190">
        <v>20842.11</v>
      </c>
      <c r="H59" s="190">
        <v>40357.89</v>
      </c>
      <c r="I59" s="326">
        <f>45399.37</f>
        <v>45399.37</v>
      </c>
      <c r="J59" s="326">
        <f>45399.37</f>
        <v>45399.37</v>
      </c>
      <c r="K59" s="326">
        <f>45399.37</f>
        <v>45399.37</v>
      </c>
      <c r="L59" s="190">
        <v>36000</v>
      </c>
      <c r="M59" s="154">
        <v>37650</v>
      </c>
      <c r="N59" s="162"/>
    </row>
    <row r="60" spans="1:16" ht="12" hidden="1" customHeight="1" outlineLevel="2" x14ac:dyDescent="0.2">
      <c r="A60" s="150" t="s">
        <v>53</v>
      </c>
      <c r="B60" s="150" t="s">
        <v>134</v>
      </c>
      <c r="C60" s="150" t="s">
        <v>134</v>
      </c>
      <c r="D60" s="151" t="s">
        <v>52</v>
      </c>
      <c r="E60" s="191"/>
      <c r="F60" s="191"/>
      <c r="G60" s="191">
        <v>57894.74</v>
      </c>
      <c r="H60" s="191">
        <v>105263.16</v>
      </c>
      <c r="I60" s="327">
        <f>117368.42</f>
        <v>117368.42</v>
      </c>
      <c r="J60" s="327">
        <f>117368.42</f>
        <v>117368.42</v>
      </c>
      <c r="K60" s="327">
        <f>117368.42</f>
        <v>117368.42</v>
      </c>
      <c r="L60" s="191">
        <v>50000</v>
      </c>
      <c r="M60" s="156">
        <v>120000</v>
      </c>
      <c r="N60" s="152"/>
    </row>
    <row r="61" spans="1:16" ht="12" hidden="1" customHeight="1" outlineLevel="2" x14ac:dyDescent="0.2">
      <c r="A61" s="150" t="s">
        <v>51</v>
      </c>
      <c r="B61" s="150" t="s">
        <v>134</v>
      </c>
      <c r="C61" s="150" t="s">
        <v>134</v>
      </c>
      <c r="D61" s="151" t="s">
        <v>50</v>
      </c>
      <c r="E61" s="191"/>
      <c r="F61" s="191"/>
      <c r="G61" s="191">
        <f>114539.97+119039.98</f>
        <v>233579.95</v>
      </c>
      <c r="H61" s="191">
        <f>94000</f>
        <v>94000</v>
      </c>
      <c r="I61" s="327">
        <f>154400</f>
        <v>154400</v>
      </c>
      <c r="J61" s="327">
        <f>154400</f>
        <v>154400</v>
      </c>
      <c r="K61" s="327">
        <f>154400</f>
        <v>154400</v>
      </c>
      <c r="L61" s="191">
        <v>67052.14</v>
      </c>
      <c r="M61" s="156">
        <f>227052.14</f>
        <v>227052.14</v>
      </c>
      <c r="N61" s="152"/>
    </row>
    <row r="62" spans="1:16" ht="12" hidden="1" customHeight="1" outlineLevel="2" x14ac:dyDescent="0.2">
      <c r="A62" s="150" t="s">
        <v>49</v>
      </c>
      <c r="B62" s="150" t="s">
        <v>134</v>
      </c>
      <c r="C62" s="150" t="s">
        <v>134</v>
      </c>
      <c r="D62" s="151" t="s">
        <v>48</v>
      </c>
      <c r="E62" s="191"/>
      <c r="F62" s="191"/>
      <c r="G62" s="191"/>
      <c r="H62" s="191"/>
      <c r="I62" s="191"/>
      <c r="J62" s="191"/>
      <c r="K62" s="191"/>
      <c r="L62" s="191"/>
      <c r="M62" s="156"/>
      <c r="N62" s="152"/>
    </row>
    <row r="63" spans="1:16" ht="12" hidden="1" customHeight="1" outlineLevel="2" x14ac:dyDescent="0.2">
      <c r="A63" s="150" t="s">
        <v>47</v>
      </c>
      <c r="B63" s="150" t="s">
        <v>134</v>
      </c>
      <c r="C63" s="150" t="s">
        <v>134</v>
      </c>
      <c r="D63" s="151" t="s">
        <v>46</v>
      </c>
      <c r="E63" s="191"/>
      <c r="F63" s="191"/>
      <c r="G63" s="191">
        <f t="shared" ref="G63" si="37">11910.14+32231.25</f>
        <v>44141.39</v>
      </c>
      <c r="H63" s="191">
        <f>53350.45+2382.25+1254.08+9897.05+32628.45+19034.68</f>
        <v>118546.95999999999</v>
      </c>
      <c r="I63" s="327">
        <f>8648.68+83324.93</f>
        <v>91973.609999999986</v>
      </c>
      <c r="J63" s="191">
        <v>55732.7</v>
      </c>
      <c r="K63" s="191">
        <v>55732.7</v>
      </c>
      <c r="L63" s="191">
        <v>55732.7</v>
      </c>
      <c r="M63" s="156">
        <f>142327.94+5574</f>
        <v>147901.94</v>
      </c>
      <c r="N63" s="152"/>
    </row>
    <row r="64" spans="1:16" ht="12" hidden="1" customHeight="1" outlineLevel="2" x14ac:dyDescent="0.2">
      <c r="A64" s="150" t="s">
        <v>45</v>
      </c>
      <c r="B64" s="150" t="s">
        <v>134</v>
      </c>
      <c r="C64" s="150" t="s">
        <v>134</v>
      </c>
      <c r="D64" s="151" t="s">
        <v>44</v>
      </c>
      <c r="E64" s="191"/>
      <c r="F64" s="191"/>
      <c r="G64" s="191">
        <v>30000</v>
      </c>
      <c r="H64" s="191"/>
      <c r="I64" s="191"/>
      <c r="J64" s="191">
        <v>30000</v>
      </c>
      <c r="K64" s="191">
        <v>30000</v>
      </c>
      <c r="L64" s="191">
        <v>30000</v>
      </c>
      <c r="M64" s="156">
        <v>30000</v>
      </c>
      <c r="N64" s="152"/>
    </row>
    <row r="65" spans="1:16" ht="12" hidden="1" customHeight="1" outlineLevel="2" x14ac:dyDescent="0.2">
      <c r="A65" s="150" t="s">
        <v>43</v>
      </c>
      <c r="B65" s="150" t="s">
        <v>134</v>
      </c>
      <c r="C65" s="150" t="s">
        <v>134</v>
      </c>
      <c r="D65" s="151" t="s">
        <v>42</v>
      </c>
      <c r="E65" s="191"/>
      <c r="F65" s="191"/>
      <c r="G65" s="191">
        <v>2800</v>
      </c>
      <c r="H65" s="191">
        <f>7200</f>
        <v>7200</v>
      </c>
      <c r="I65" s="327">
        <v>7200</v>
      </c>
      <c r="J65" s="191">
        <v>7200</v>
      </c>
      <c r="K65" s="191">
        <v>7200</v>
      </c>
      <c r="L65" s="191">
        <v>7200</v>
      </c>
      <c r="M65" s="191">
        <v>7200</v>
      </c>
      <c r="N65" s="152"/>
    </row>
    <row r="66" spans="1:16" ht="12" hidden="1" customHeight="1" outlineLevel="2" x14ac:dyDescent="0.2">
      <c r="A66" s="153" t="s">
        <v>41</v>
      </c>
      <c r="B66" s="153" t="s">
        <v>134</v>
      </c>
      <c r="C66" s="153" t="s">
        <v>134</v>
      </c>
      <c r="D66" s="158" t="s">
        <v>40</v>
      </c>
      <c r="E66" s="192">
        <v>1000</v>
      </c>
      <c r="F66" s="192">
        <f>892.5+684.96</f>
        <v>1577.46</v>
      </c>
      <c r="G66" s="192">
        <f>1001.91+859</f>
        <v>1860.9099999999999</v>
      </c>
      <c r="H66" s="192">
        <f>1001.91+156+720</f>
        <v>1877.9099999999999</v>
      </c>
      <c r="I66" s="312">
        <f>1253.5+930+680+1253.5+930+156+1253.5+480+645+170.5+2774.5+961+680+1226.5</f>
        <v>13394</v>
      </c>
      <c r="J66" s="192">
        <v>33190</v>
      </c>
      <c r="K66" s="192">
        <v>33190</v>
      </c>
      <c r="L66" s="192">
        <v>33190</v>
      </c>
      <c r="M66" s="159">
        <f>6614.46+13166.99+12054.88</f>
        <v>31836.33</v>
      </c>
      <c r="N66" s="160"/>
    </row>
    <row r="67" spans="1:16" ht="20.100000000000001" customHeight="1" outlineLevel="1" collapsed="1" x14ac:dyDescent="0.2">
      <c r="A67" s="206" t="s">
        <v>5</v>
      </c>
      <c r="B67" s="207" t="s">
        <v>282</v>
      </c>
      <c r="C67" s="207" t="s">
        <v>285</v>
      </c>
      <c r="D67" s="208" t="s">
        <v>276</v>
      </c>
      <c r="E67" s="209">
        <f>SUM(E68:E72)</f>
        <v>14574.6</v>
      </c>
      <c r="F67" s="209">
        <f t="shared" ref="F67:M67" si="38">SUM(F68:F72)</f>
        <v>14574.6</v>
      </c>
      <c r="G67" s="209">
        <f t="shared" si="38"/>
        <v>14574.6</v>
      </c>
      <c r="H67" s="209">
        <f t="shared" si="38"/>
        <v>0</v>
      </c>
      <c r="I67" s="209">
        <f t="shared" si="38"/>
        <v>0</v>
      </c>
      <c r="J67" s="209">
        <f t="shared" si="38"/>
        <v>0</v>
      </c>
      <c r="K67" s="209">
        <f t="shared" ref="K67:L67" si="39">SUM(K68:K72)</f>
        <v>0</v>
      </c>
      <c r="L67" s="209">
        <f t="shared" si="39"/>
        <v>0</v>
      </c>
      <c r="M67" s="209">
        <f t="shared" si="38"/>
        <v>0</v>
      </c>
      <c r="N67" s="210"/>
      <c r="P67" s="1" t="s">
        <v>254</v>
      </c>
    </row>
    <row r="68" spans="1:16" ht="12" hidden="1" customHeight="1" outlineLevel="2" x14ac:dyDescent="0.2">
      <c r="A68" s="148" t="s">
        <v>39</v>
      </c>
      <c r="B68" s="148" t="s">
        <v>134</v>
      </c>
      <c r="C68" s="148" t="s">
        <v>134</v>
      </c>
      <c r="D68" s="149" t="s">
        <v>38</v>
      </c>
      <c r="E68" s="190"/>
      <c r="F68" s="190"/>
      <c r="G68" s="190"/>
      <c r="H68" s="190"/>
      <c r="I68" s="190"/>
      <c r="J68" s="190"/>
      <c r="K68" s="190"/>
      <c r="L68" s="190"/>
      <c r="M68" s="161"/>
      <c r="N68" s="162"/>
    </row>
    <row r="69" spans="1:16" ht="12" hidden="1" customHeight="1" outlineLevel="2" x14ac:dyDescent="0.2">
      <c r="A69" s="150" t="s">
        <v>37</v>
      </c>
      <c r="B69" s="150" t="s">
        <v>134</v>
      </c>
      <c r="C69" s="150" t="s">
        <v>134</v>
      </c>
      <c r="D69" s="151" t="s">
        <v>36</v>
      </c>
      <c r="E69" s="191"/>
      <c r="F69" s="191"/>
      <c r="G69" s="191"/>
      <c r="H69" s="191"/>
      <c r="I69" s="191"/>
      <c r="J69" s="191"/>
      <c r="K69" s="191"/>
      <c r="L69" s="191"/>
      <c r="M69" s="163"/>
      <c r="N69" s="152"/>
    </row>
    <row r="70" spans="1:16" ht="12" hidden="1" customHeight="1" outlineLevel="2" x14ac:dyDescent="0.2">
      <c r="A70" s="150" t="s">
        <v>35</v>
      </c>
      <c r="B70" s="150" t="s">
        <v>134</v>
      </c>
      <c r="C70" s="150" t="s">
        <v>134</v>
      </c>
      <c r="D70" s="151" t="s">
        <v>116</v>
      </c>
      <c r="E70" s="191"/>
      <c r="F70" s="191"/>
      <c r="G70" s="191"/>
      <c r="H70" s="191"/>
      <c r="I70" s="191"/>
      <c r="J70" s="191"/>
      <c r="K70" s="191"/>
      <c r="L70" s="191"/>
      <c r="M70" s="163"/>
      <c r="N70" s="152"/>
    </row>
    <row r="71" spans="1:16" ht="12" hidden="1" customHeight="1" outlineLevel="2" x14ac:dyDescent="0.2">
      <c r="A71" s="150" t="s">
        <v>33</v>
      </c>
      <c r="B71" s="150" t="s">
        <v>134</v>
      </c>
      <c r="C71" s="150" t="s">
        <v>134</v>
      </c>
      <c r="D71" s="151" t="s">
        <v>34</v>
      </c>
      <c r="E71" s="191">
        <v>14574.6</v>
      </c>
      <c r="F71" s="191">
        <v>14574.6</v>
      </c>
      <c r="G71" s="191">
        <v>14574.6</v>
      </c>
      <c r="H71" s="191"/>
      <c r="I71" s="191"/>
      <c r="J71" s="191"/>
      <c r="K71" s="191"/>
      <c r="L71" s="191"/>
      <c r="M71" s="163"/>
      <c r="N71" s="152"/>
    </row>
    <row r="72" spans="1:16" ht="12" hidden="1" customHeight="1" outlineLevel="2" x14ac:dyDescent="0.2">
      <c r="A72" s="153" t="s">
        <v>33</v>
      </c>
      <c r="B72" s="153" t="s">
        <v>134</v>
      </c>
      <c r="C72" s="153" t="s">
        <v>134</v>
      </c>
      <c r="D72" s="158" t="s">
        <v>32</v>
      </c>
      <c r="E72" s="192"/>
      <c r="F72" s="192"/>
      <c r="G72" s="192">
        <v>0</v>
      </c>
      <c r="H72" s="192"/>
      <c r="I72" s="192"/>
      <c r="J72" s="192"/>
      <c r="K72" s="192"/>
      <c r="L72" s="192"/>
      <c r="M72" s="164"/>
      <c r="N72" s="160"/>
    </row>
    <row r="73" spans="1:16" ht="20.100000000000001" customHeight="1" outlineLevel="1" x14ac:dyDescent="0.2">
      <c r="A73" s="206" t="s">
        <v>21</v>
      </c>
      <c r="B73" s="207" t="s">
        <v>282</v>
      </c>
      <c r="C73" s="207" t="str">
        <f>D73</f>
        <v>CUSTOS - ACUMULADOS</v>
      </c>
      <c r="D73" s="208" t="s">
        <v>272</v>
      </c>
      <c r="E73" s="209">
        <f>E14</f>
        <v>309406.46749999997</v>
      </c>
      <c r="F73" s="209">
        <f>F14+E73</f>
        <v>645442.84450000001</v>
      </c>
      <c r="G73" s="209">
        <f t="shared" ref="G73:J73" si="40">G14+F73</f>
        <v>2906201.2745000003</v>
      </c>
      <c r="H73" s="209">
        <f t="shared" si="40"/>
        <v>5269598.3245000001</v>
      </c>
      <c r="I73" s="209">
        <f t="shared" si="40"/>
        <v>7386552.3245000001</v>
      </c>
      <c r="J73" s="209">
        <f t="shared" si="40"/>
        <v>9249686.2345000003</v>
      </c>
      <c r="K73" s="209">
        <f t="shared" ref="K73" si="41">K14+J73</f>
        <v>11158127.0645</v>
      </c>
      <c r="L73" s="209">
        <f t="shared" ref="L73" si="42">L14+K73</f>
        <v>12522815.855500001</v>
      </c>
      <c r="M73" s="209">
        <f>M14+J73</f>
        <v>11874233.278999999</v>
      </c>
      <c r="N73" s="210"/>
      <c r="P73" s="1" t="s">
        <v>254</v>
      </c>
    </row>
    <row r="74" spans="1:16" ht="20.100000000000001" customHeight="1" x14ac:dyDescent="0.2">
      <c r="A74" s="201">
        <v>3</v>
      </c>
      <c r="B74" s="202" t="s">
        <v>29</v>
      </c>
      <c r="C74" s="202" t="s">
        <v>29</v>
      </c>
      <c r="D74" s="203" t="s">
        <v>31</v>
      </c>
      <c r="E74" s="204"/>
      <c r="F74" s="204"/>
      <c r="G74" s="204"/>
      <c r="H74" s="204"/>
      <c r="I74" s="204"/>
      <c r="J74" s="204"/>
      <c r="K74" s="204"/>
      <c r="L74" s="204"/>
      <c r="M74" s="204"/>
      <c r="N74" s="205"/>
    </row>
    <row r="75" spans="1:16" ht="18" customHeight="1" x14ac:dyDescent="0.2">
      <c r="A75" s="148" t="s">
        <v>6</v>
      </c>
      <c r="B75" s="165" t="s">
        <v>134</v>
      </c>
      <c r="C75" s="165" t="s">
        <v>29</v>
      </c>
      <c r="D75" s="166" t="s">
        <v>30</v>
      </c>
      <c r="E75" s="188">
        <f t="shared" ref="E75:J75" si="43">E11</f>
        <v>102735.850294</v>
      </c>
      <c r="F75" s="188">
        <f t="shared" si="43"/>
        <v>134232.74078999998</v>
      </c>
      <c r="G75" s="188">
        <f t="shared" si="43"/>
        <v>184605.54539293059</v>
      </c>
      <c r="H75" s="188">
        <f t="shared" si="43"/>
        <v>147761.43086758</v>
      </c>
      <c r="I75" s="188">
        <f t="shared" si="43"/>
        <v>121517.594449682</v>
      </c>
      <c r="J75" s="188">
        <f t="shared" si="43"/>
        <v>84582.951908408315</v>
      </c>
      <c r="K75" s="188">
        <f t="shared" ref="K75:M75" si="44">K11</f>
        <v>128894.60734990505</v>
      </c>
      <c r="L75" s="188">
        <f t="shared" si="44"/>
        <v>88143.264803984566</v>
      </c>
      <c r="M75" s="188">
        <f t="shared" si="44"/>
        <v>81060.488789032082</v>
      </c>
      <c r="N75" s="171">
        <v>3.8300000000000001E-2</v>
      </c>
    </row>
    <row r="76" spans="1:16" ht="18" customHeight="1" x14ac:dyDescent="0.2">
      <c r="A76" s="150" t="s">
        <v>7</v>
      </c>
      <c r="B76" s="167" t="s">
        <v>29</v>
      </c>
      <c r="C76" s="167" t="s">
        <v>29</v>
      </c>
      <c r="D76" s="168" t="s">
        <v>29</v>
      </c>
      <c r="E76" s="189">
        <f>E12-E14</f>
        <v>1587585.5253960001</v>
      </c>
      <c r="F76" s="189">
        <f t="shared" ref="F76:J76" si="45">F12-F14</f>
        <v>2142537.8863599999</v>
      </c>
      <c r="G76" s="189">
        <f t="shared" si="45"/>
        <v>1147937.1757932249</v>
      </c>
      <c r="H76" s="189">
        <f t="shared" si="45"/>
        <v>364981.11996220797</v>
      </c>
      <c r="I76" s="189">
        <f t="shared" si="45"/>
        <v>126838.24007350113</v>
      </c>
      <c r="J76" s="189">
        <f t="shared" si="45"/>
        <v>-301330.68311680527</v>
      </c>
      <c r="K76" s="189">
        <f t="shared" ref="K76:M76" si="46">K12-K14</f>
        <v>471566.12346874271</v>
      </c>
      <c r="L76" s="189">
        <f t="shared" si="46"/>
        <v>262854.73039367818</v>
      </c>
      <c r="M76" s="189">
        <f t="shared" si="46"/>
        <v>-1127785.2253980811</v>
      </c>
      <c r="N76" s="172"/>
    </row>
    <row r="77" spans="1:16" ht="18" customHeight="1" x14ac:dyDescent="0.2">
      <c r="A77" s="150" t="s">
        <v>8</v>
      </c>
      <c r="B77" s="167" t="s">
        <v>29</v>
      </c>
      <c r="C77" s="167" t="s">
        <v>28</v>
      </c>
      <c r="D77" s="168" t="s">
        <v>28</v>
      </c>
      <c r="E77" s="189">
        <f>E76</f>
        <v>1587585.5253960001</v>
      </c>
      <c r="F77" s="189">
        <f t="shared" ref="F77:J77" si="47">E77+F76</f>
        <v>3730123.411756</v>
      </c>
      <c r="G77" s="189">
        <f t="shared" si="47"/>
        <v>4878060.5875492245</v>
      </c>
      <c r="H77" s="189">
        <f t="shared" si="47"/>
        <v>5243041.7075114325</v>
      </c>
      <c r="I77" s="189">
        <f t="shared" si="47"/>
        <v>5369879.9475849336</v>
      </c>
      <c r="J77" s="189">
        <f t="shared" si="47"/>
        <v>5068549.2644681279</v>
      </c>
      <c r="K77" s="189">
        <f t="shared" ref="K77" si="48">J77+K76</f>
        <v>5540115.3879368706</v>
      </c>
      <c r="L77" s="189">
        <f t="shared" ref="L77" si="49">K77+L76</f>
        <v>5802970.1183305485</v>
      </c>
      <c r="M77" s="189">
        <f t="shared" ref="M77" si="50">L77+M76</f>
        <v>4675184.8929324672</v>
      </c>
      <c r="N77" s="172"/>
    </row>
    <row r="78" spans="1:16" ht="18" customHeight="1" x14ac:dyDescent="0.2">
      <c r="A78" s="150" t="s">
        <v>9</v>
      </c>
      <c r="B78" s="167" t="s">
        <v>134</v>
      </c>
      <c r="C78" s="167" t="s">
        <v>134</v>
      </c>
      <c r="D78" s="168" t="s">
        <v>167</v>
      </c>
      <c r="E78" s="173">
        <f>E14/E12</f>
        <v>0.16310372877623566</v>
      </c>
      <c r="F78" s="173">
        <f t="shared" ref="F78:J78" si="51">F14/F12</f>
        <v>0.13557648119224117</v>
      </c>
      <c r="G78" s="173">
        <f t="shared" si="51"/>
        <v>0.66323271170289999</v>
      </c>
      <c r="H78" s="173">
        <f t="shared" si="51"/>
        <v>0.86622781109289426</v>
      </c>
      <c r="I78" s="173">
        <f t="shared" si="51"/>
        <v>0.94347148643791268</v>
      </c>
      <c r="J78" s="173">
        <f t="shared" si="51"/>
        <v>1.1929376748171756</v>
      </c>
      <c r="K78" s="173">
        <f t="shared" ref="K78:M78" si="52">K14/K12</f>
        <v>0.80186355221296379</v>
      </c>
      <c r="L78" s="173">
        <f t="shared" si="52"/>
        <v>0.8384960359348218</v>
      </c>
      <c r="M78" s="173">
        <f t="shared" si="52"/>
        <v>1.7534834273597188</v>
      </c>
      <c r="N78" s="172"/>
    </row>
    <row r="79" spans="1:16" ht="18" customHeight="1" x14ac:dyDescent="0.2">
      <c r="A79" s="153" t="s">
        <v>10</v>
      </c>
      <c r="B79" s="169" t="s">
        <v>134</v>
      </c>
      <c r="C79" s="169" t="s">
        <v>134</v>
      </c>
      <c r="D79" s="170" t="s">
        <v>168</v>
      </c>
      <c r="E79" s="174">
        <f>E78</f>
        <v>0.16310372877623566</v>
      </c>
      <c r="F79" s="174">
        <f>F73/F13</f>
        <v>0.14751070071837516</v>
      </c>
      <c r="G79" s="174">
        <f t="shared" ref="G79:J79" si="53">G73/G13</f>
        <v>0.37334320530359649</v>
      </c>
      <c r="H79" s="174">
        <f t="shared" si="53"/>
        <v>0.5012630802970377</v>
      </c>
      <c r="I79" s="174">
        <f t="shared" si="53"/>
        <v>0.57904531352893129</v>
      </c>
      <c r="J79" s="174">
        <f t="shared" si="53"/>
        <v>0.64600741028226516</v>
      </c>
      <c r="K79" s="174">
        <f t="shared" ref="K79:M79" si="54">K73/K13</f>
        <v>0.66822164645666815</v>
      </c>
      <c r="L79" s="174">
        <f t="shared" si="54"/>
        <v>0.68334399809005386</v>
      </c>
      <c r="M79" s="174">
        <f t="shared" si="54"/>
        <v>0.59902659350548448</v>
      </c>
      <c r="N79" s="175"/>
    </row>
    <row r="80" spans="1:16" ht="20.100000000000001" customHeight="1" x14ac:dyDescent="0.2">
      <c r="A80" s="8"/>
      <c r="B80" s="8"/>
      <c r="C80" s="8"/>
      <c r="D80" s="7"/>
      <c r="E80" s="4"/>
      <c r="F80" s="4"/>
      <c r="G80" s="4"/>
      <c r="H80" s="4"/>
      <c r="I80" s="4"/>
      <c r="J80" s="4"/>
      <c r="K80" s="4"/>
      <c r="L80" s="4"/>
      <c r="M80" s="4"/>
    </row>
    <row r="81" spans="1:13" ht="20.100000000000001" customHeight="1" x14ac:dyDescent="0.2">
      <c r="A81" s="8"/>
      <c r="B81" s="8"/>
      <c r="C81" s="8"/>
      <c r="D81" s="7"/>
      <c r="E81" s="4"/>
      <c r="F81" s="4"/>
      <c r="G81" s="4"/>
      <c r="H81" s="4"/>
      <c r="I81" s="4"/>
      <c r="J81" s="4"/>
      <c r="K81" s="4"/>
      <c r="L81" s="4"/>
      <c r="M81" s="4"/>
    </row>
    <row r="82" spans="1:13" ht="20.100000000000001" customHeight="1" x14ac:dyDescent="0.2">
      <c r="A82" s="8"/>
      <c r="B82" s="8"/>
      <c r="C82" s="8"/>
      <c r="D82" s="7"/>
      <c r="E82" s="4"/>
      <c r="F82" s="4"/>
      <c r="G82" s="4"/>
      <c r="H82" s="4"/>
      <c r="I82" s="4"/>
      <c r="J82" s="4"/>
      <c r="K82" s="4"/>
      <c r="L82" s="4"/>
      <c r="M82" s="4"/>
    </row>
    <row r="83" spans="1:13" ht="20.100000000000001" customHeight="1" x14ac:dyDescent="0.2">
      <c r="A83" s="6"/>
      <c r="B83" s="6"/>
      <c r="C83" s="6"/>
      <c r="D83" s="5"/>
      <c r="E83" s="4"/>
      <c r="F83" s="4"/>
      <c r="G83" s="4"/>
      <c r="H83" s="4"/>
      <c r="I83" s="4"/>
      <c r="J83" s="4"/>
      <c r="K83" s="4"/>
      <c r="L83" s="4"/>
      <c r="M83" s="4"/>
    </row>
    <row r="84" spans="1:13" ht="20.100000000000001" customHeight="1" x14ac:dyDescent="0.2">
      <c r="A84" s="6"/>
      <c r="B84" s="6"/>
      <c r="C84" s="6"/>
      <c r="D84" s="5"/>
      <c r="E84" s="4"/>
      <c r="F84" s="4"/>
      <c r="G84" s="4"/>
      <c r="H84" s="4"/>
      <c r="I84" s="4"/>
      <c r="J84" s="4"/>
      <c r="K84" s="4"/>
      <c r="L84" s="4"/>
      <c r="M84" s="4"/>
    </row>
    <row r="85" spans="1:13" ht="20.100000000000001" customHeight="1" x14ac:dyDescent="0.2">
      <c r="A85" s="6"/>
      <c r="B85" s="6"/>
      <c r="C85" s="6"/>
      <c r="D85" s="5"/>
      <c r="E85" s="4"/>
      <c r="F85" s="4"/>
      <c r="G85" s="4"/>
      <c r="H85" s="4"/>
      <c r="I85" s="4"/>
      <c r="J85" s="4"/>
      <c r="K85" s="4"/>
      <c r="L85" s="4"/>
      <c r="M85" s="4"/>
    </row>
    <row r="86" spans="1:13" ht="20.100000000000001" customHeight="1" x14ac:dyDescent="0.2">
      <c r="A86" s="6"/>
      <c r="B86" s="6"/>
      <c r="C86" s="6"/>
      <c r="D86" s="5"/>
      <c r="E86" s="4"/>
      <c r="F86" s="4"/>
      <c r="G86" s="4"/>
      <c r="H86" s="4"/>
      <c r="I86" s="4"/>
      <c r="J86" s="4"/>
      <c r="K86" s="4"/>
      <c r="L86" s="4"/>
      <c r="M86" s="4"/>
    </row>
    <row r="87" spans="1:13" ht="20.100000000000001" customHeight="1" x14ac:dyDescent="0.2">
      <c r="A87" s="6"/>
      <c r="B87" s="6"/>
      <c r="C87" s="6"/>
      <c r="D87" s="5"/>
      <c r="E87" s="4"/>
      <c r="F87" s="4"/>
      <c r="G87" s="4"/>
      <c r="H87" s="4"/>
      <c r="I87" s="4"/>
      <c r="J87" s="4"/>
      <c r="K87" s="4"/>
      <c r="L87" s="4"/>
      <c r="M87" s="4"/>
    </row>
    <row r="88" spans="1:13" ht="20.100000000000001" customHeight="1" x14ac:dyDescent="0.2">
      <c r="A88" s="8"/>
      <c r="B88" s="8"/>
      <c r="C88" s="8"/>
      <c r="D88" s="7"/>
      <c r="E88" s="4"/>
      <c r="F88" s="4"/>
      <c r="G88" s="4"/>
      <c r="H88" s="4"/>
      <c r="I88" s="4"/>
      <c r="J88" s="4"/>
      <c r="K88" s="4"/>
      <c r="L88" s="4"/>
      <c r="M88" s="4"/>
    </row>
    <row r="89" spans="1:13" ht="20.100000000000001" customHeight="1" x14ac:dyDescent="0.2">
      <c r="A89" s="8"/>
      <c r="B89" s="8"/>
      <c r="C89" s="8"/>
      <c r="D89" s="7"/>
      <c r="E89" s="4"/>
      <c r="F89" s="4"/>
      <c r="G89" s="4"/>
      <c r="H89" s="4"/>
      <c r="I89" s="4"/>
      <c r="J89" s="4"/>
      <c r="K89" s="4"/>
      <c r="L89" s="4"/>
      <c r="M89" s="4"/>
    </row>
    <row r="90" spans="1:13" ht="20.100000000000001" customHeight="1" x14ac:dyDescent="0.2">
      <c r="A90" s="6"/>
      <c r="B90" s="6"/>
      <c r="C90" s="6"/>
      <c r="D90" s="5"/>
      <c r="E90" s="4"/>
      <c r="F90" s="4"/>
      <c r="G90" s="4"/>
      <c r="H90" s="4"/>
      <c r="I90" s="4"/>
      <c r="J90" s="4"/>
      <c r="K90" s="4"/>
      <c r="L90" s="4"/>
      <c r="M90" s="4"/>
    </row>
    <row r="91" spans="1:13" ht="20.100000000000001" customHeight="1" x14ac:dyDescent="0.2">
      <c r="A91" s="8"/>
      <c r="B91" s="8"/>
      <c r="C91" s="8"/>
      <c r="D91" s="7"/>
      <c r="E91" s="4"/>
      <c r="F91" s="4"/>
      <c r="G91" s="4"/>
      <c r="H91" s="4"/>
      <c r="I91" s="4"/>
      <c r="J91" s="4"/>
      <c r="K91" s="4"/>
      <c r="L91" s="4"/>
      <c r="M91" s="4"/>
    </row>
    <row r="92" spans="1:13" ht="20.100000000000001" customHeight="1" x14ac:dyDescent="0.2">
      <c r="A92" s="8"/>
      <c r="B92" s="8"/>
      <c r="C92" s="8"/>
      <c r="D92" s="7"/>
      <c r="E92" s="4"/>
      <c r="F92" s="4"/>
      <c r="G92" s="4"/>
      <c r="H92" s="4"/>
      <c r="I92" s="4"/>
      <c r="J92" s="4"/>
      <c r="K92" s="4"/>
      <c r="L92" s="4"/>
      <c r="M92" s="4"/>
    </row>
    <row r="93" spans="1:13" ht="20.100000000000001" customHeight="1" x14ac:dyDescent="0.2">
      <c r="A93" s="6"/>
      <c r="B93" s="6"/>
      <c r="C93" s="6"/>
      <c r="D93" s="5"/>
      <c r="E93" s="4"/>
      <c r="F93" s="4"/>
      <c r="G93" s="4"/>
      <c r="H93" s="4"/>
      <c r="I93" s="4"/>
      <c r="J93" s="4"/>
      <c r="K93" s="4"/>
      <c r="L93" s="4"/>
      <c r="M93" s="4"/>
    </row>
    <row r="94" spans="1:13" ht="20.100000000000001" customHeight="1" x14ac:dyDescent="0.2">
      <c r="A94" s="8"/>
      <c r="B94" s="8"/>
      <c r="C94" s="8"/>
      <c r="D94" s="7"/>
      <c r="E94" s="4"/>
      <c r="F94" s="4"/>
      <c r="G94" s="4"/>
      <c r="H94" s="4"/>
      <c r="I94" s="4"/>
      <c r="J94" s="4"/>
      <c r="K94" s="4"/>
      <c r="L94" s="4"/>
      <c r="M94" s="4"/>
    </row>
    <row r="95" spans="1:13" ht="20.100000000000001" customHeight="1" x14ac:dyDescent="0.2">
      <c r="A95" s="8"/>
      <c r="B95" s="8"/>
      <c r="C95" s="8"/>
      <c r="D95" s="7"/>
      <c r="E95" s="4"/>
      <c r="F95" s="4"/>
      <c r="G95" s="4"/>
      <c r="H95" s="4"/>
      <c r="I95" s="4"/>
      <c r="J95" s="4"/>
      <c r="K95" s="4"/>
      <c r="L95" s="4"/>
      <c r="M95" s="4"/>
    </row>
    <row r="96" spans="1:13" ht="20.100000000000001" customHeight="1" x14ac:dyDescent="0.2">
      <c r="A96" s="6"/>
      <c r="B96" s="6"/>
      <c r="C96" s="6"/>
      <c r="D96" s="5"/>
      <c r="E96" s="4"/>
      <c r="F96" s="4"/>
      <c r="G96" s="4"/>
      <c r="H96" s="4"/>
      <c r="I96" s="4"/>
      <c r="J96" s="4"/>
      <c r="K96" s="4"/>
      <c r="L96" s="4"/>
      <c r="M96" s="4"/>
    </row>
    <row r="97" spans="1:13" ht="20.100000000000001" customHeight="1" x14ac:dyDescent="0.2">
      <c r="A97" s="8"/>
      <c r="B97" s="8"/>
      <c r="C97" s="8"/>
      <c r="D97" s="7"/>
      <c r="E97" s="4"/>
      <c r="F97" s="4"/>
      <c r="G97" s="4"/>
      <c r="H97" s="4"/>
      <c r="I97" s="4"/>
      <c r="J97" s="4"/>
      <c r="K97" s="4"/>
      <c r="L97" s="4"/>
      <c r="M97" s="4"/>
    </row>
    <row r="98" spans="1:13" ht="20.100000000000001" customHeight="1" x14ac:dyDescent="0.2">
      <c r="A98" s="6"/>
      <c r="B98" s="6"/>
      <c r="C98" s="6"/>
      <c r="D98" s="5"/>
      <c r="E98" s="4"/>
      <c r="F98" s="4"/>
      <c r="G98" s="4"/>
      <c r="H98" s="4"/>
      <c r="I98" s="4"/>
      <c r="J98" s="4"/>
      <c r="K98" s="4"/>
      <c r="L98" s="4"/>
      <c r="M98" s="4"/>
    </row>
    <row r="99" spans="1:13" ht="20.100000000000001" customHeight="1" x14ac:dyDescent="0.2">
      <c r="A99" s="8"/>
      <c r="B99" s="8"/>
      <c r="C99" s="8"/>
      <c r="D99" s="7"/>
      <c r="E99" s="4"/>
      <c r="F99" s="4"/>
      <c r="G99" s="4"/>
      <c r="H99" s="4"/>
      <c r="I99" s="4"/>
      <c r="J99" s="4"/>
      <c r="K99" s="4"/>
      <c r="L99" s="4"/>
      <c r="M99" s="4"/>
    </row>
    <row r="100" spans="1:13" ht="20.100000000000001" customHeight="1" x14ac:dyDescent="0.2">
      <c r="A100" s="6"/>
      <c r="B100" s="6"/>
      <c r="C100" s="6"/>
      <c r="D100" s="5"/>
      <c r="E100" s="4"/>
      <c r="F100" s="4"/>
      <c r="G100" s="4"/>
      <c r="H100" s="4"/>
      <c r="I100" s="4"/>
      <c r="J100" s="4"/>
      <c r="K100" s="4"/>
      <c r="L100" s="4"/>
      <c r="M100" s="4"/>
    </row>
    <row r="101" spans="1:13" ht="20.100000000000001" customHeight="1" x14ac:dyDescent="0.2">
      <c r="A101" s="8"/>
      <c r="B101" s="8"/>
      <c r="C101" s="8"/>
      <c r="D101" s="7"/>
      <c r="E101" s="4"/>
      <c r="F101" s="4"/>
      <c r="G101" s="4"/>
      <c r="H101" s="4"/>
      <c r="I101" s="4"/>
      <c r="J101" s="4"/>
      <c r="K101" s="4"/>
      <c r="L101" s="4"/>
      <c r="M101" s="4"/>
    </row>
    <row r="102" spans="1:13" ht="20.100000000000001" customHeight="1" x14ac:dyDescent="0.2">
      <c r="A102" s="6"/>
      <c r="B102" s="6"/>
      <c r="C102" s="6"/>
      <c r="D102" s="5"/>
      <c r="E102" s="4"/>
      <c r="F102" s="4"/>
      <c r="G102" s="4"/>
      <c r="H102" s="4"/>
      <c r="I102" s="4"/>
      <c r="J102" s="4"/>
      <c r="K102" s="4"/>
      <c r="L102" s="4"/>
      <c r="M102" s="4"/>
    </row>
    <row r="103" spans="1:13" ht="20.100000000000001" customHeight="1" x14ac:dyDescent="0.2">
      <c r="A103" s="6"/>
      <c r="B103" s="6"/>
      <c r="C103" s="6"/>
      <c r="D103" s="5"/>
      <c r="E103" s="4"/>
      <c r="F103" s="4"/>
      <c r="G103" s="4"/>
      <c r="H103" s="4"/>
      <c r="I103" s="4"/>
      <c r="J103" s="4"/>
      <c r="K103" s="4"/>
      <c r="L103" s="4"/>
      <c r="M103" s="4"/>
    </row>
    <row r="104" spans="1:13" ht="20.100000000000001" customHeight="1" x14ac:dyDescent="0.2">
      <c r="A104" s="6"/>
      <c r="B104" s="6"/>
      <c r="C104" s="6"/>
      <c r="D104" s="5"/>
      <c r="E104" s="4"/>
      <c r="F104" s="4"/>
      <c r="G104" s="4"/>
      <c r="H104" s="4"/>
      <c r="I104" s="4"/>
      <c r="J104" s="4"/>
      <c r="K104" s="4"/>
      <c r="L104" s="4"/>
      <c r="M104" s="4"/>
    </row>
    <row r="105" spans="1:13" ht="20.100000000000001" customHeight="1" x14ac:dyDescent="0.2"/>
  </sheetData>
  <mergeCells count="5">
    <mergeCell ref="A1:D3"/>
    <mergeCell ref="N2:N3"/>
    <mergeCell ref="E2:M2"/>
    <mergeCell ref="E1:M1"/>
    <mergeCell ref="E3:M3"/>
  </mergeCells>
  <phoneticPr fontId="51" type="noConversion"/>
  <conditionalFormatting sqref="E75:M79">
    <cfRule type="cellIs" dxfId="1143" priority="1" operator="lessThan">
      <formula>0</formula>
    </cfRule>
    <cfRule type="cellIs" dxfId="1142" priority="2" operator="greaterThan">
      <formula>0</formula>
    </cfRule>
  </conditionalFormatting>
  <printOptions horizontalCentered="1"/>
  <pageMargins left="0.23622047244094491" right="0.23622047244094491" top="0.23622047244094491" bottom="0.23622047244094491" header="0.31496062992125984" footer="0.31496062992125984"/>
  <pageSetup paperSize="9" scale="65" fitToHeight="2" orientation="landscape" r:id="rId1"/>
  <ignoredErrors>
    <ignoredError sqref="E78 G8:J8" 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082BA-0590-49AF-B5AF-71AF72953CC5}">
  <sheetPr>
    <tabColor theme="3" tint="0.79998168889431442"/>
    <pageSetUpPr fitToPage="1"/>
  </sheetPr>
  <dimension ref="A1:EN57"/>
  <sheetViews>
    <sheetView showGridLines="0" zoomScale="65" zoomScaleNormal="65" zoomScaleSheetLayoutView="85" workbookViewId="0">
      <pane xSplit="8" ySplit="2" topLeftCell="AC15" activePane="bottomRight" state="frozen"/>
      <selection pane="topRight" activeCell="K1" sqref="K1"/>
      <selection pane="bottomLeft" activeCell="A3" sqref="A3"/>
      <selection pane="bottomRight" activeCell="AL2" sqref="AL1:AL1048576"/>
    </sheetView>
  </sheetViews>
  <sheetFormatPr defaultColWidth="12.7109375" defaultRowHeight="15" x14ac:dyDescent="0.2"/>
  <cols>
    <col min="1" max="3" width="14.7109375" style="20" customWidth="1"/>
    <col min="4" max="4" width="82.7109375" style="20" customWidth="1"/>
    <col min="5" max="6" width="20.7109375" style="19" customWidth="1"/>
    <col min="7" max="7" width="8.7109375" style="138" customWidth="1"/>
    <col min="8" max="8" width="8.7109375" style="20" customWidth="1"/>
    <col min="9" max="9" width="6.7109375" style="139" customWidth="1"/>
    <col min="10" max="10" width="15.7109375" style="140" customWidth="1"/>
    <col min="11" max="11" width="6.7109375" style="139" customWidth="1"/>
    <col min="12" max="12" width="15.7109375" style="140" customWidth="1"/>
    <col min="13" max="13" width="6.7109375" style="139" customWidth="1"/>
    <col min="14" max="14" width="15.7109375" style="140" customWidth="1"/>
    <col min="15" max="15" width="6.7109375" style="139" customWidth="1"/>
    <col min="16" max="16" width="15.7109375" style="140" customWidth="1"/>
    <col min="17" max="17" width="6.7109375" style="139" customWidth="1"/>
    <col min="18" max="18" width="15.7109375" style="140" customWidth="1"/>
    <col min="19" max="19" width="6.7109375" style="139" customWidth="1"/>
    <col min="20" max="20" width="15.7109375" style="140" customWidth="1"/>
    <col min="21" max="21" width="6.7109375" style="139" customWidth="1"/>
    <col min="22" max="22" width="15.7109375" style="140" customWidth="1"/>
    <col min="23" max="23" width="6.7109375" style="139" customWidth="1"/>
    <col min="24" max="24" width="15.7109375" style="140" customWidth="1"/>
    <col min="25" max="25" width="6.7109375" style="139" customWidth="1"/>
    <col min="26" max="26" width="15.7109375" style="140" customWidth="1"/>
    <col min="27" max="27" width="6.7109375" style="139" customWidth="1"/>
    <col min="28" max="28" width="15.7109375" style="140" customWidth="1"/>
    <col min="29" max="29" width="6.7109375" style="139" customWidth="1"/>
    <col min="30" max="30" width="15.7109375" style="140" customWidth="1"/>
    <col min="31" max="31" width="6.7109375" style="139" customWidth="1"/>
    <col min="32" max="32" width="15.7109375" style="140" customWidth="1"/>
    <col min="33" max="33" width="6.7109375" style="139" customWidth="1"/>
    <col min="34" max="34" width="15.7109375" style="140" customWidth="1"/>
    <col min="35" max="35" width="6.7109375" style="139" customWidth="1"/>
    <col min="36" max="36" width="15.7109375" style="140" customWidth="1"/>
    <col min="37" max="37" width="6.7109375" style="139" customWidth="1"/>
    <col min="38" max="38" width="15.7109375" style="140" customWidth="1"/>
    <col min="39" max="39" width="6.7109375" style="139" customWidth="1"/>
    <col min="40" max="40" width="15.7109375" style="140" customWidth="1"/>
    <col min="41" max="41" width="6.7109375" style="139" customWidth="1"/>
    <col min="42" max="42" width="15.7109375" style="140" customWidth="1"/>
    <col min="43" max="43" width="6.7109375" style="139" customWidth="1"/>
    <col min="44" max="44" width="15.7109375" style="140" customWidth="1"/>
    <col min="45" max="45" width="6.7109375" style="139" customWidth="1"/>
    <col min="46" max="46" width="15.7109375" style="140" customWidth="1"/>
    <col min="47" max="47" width="6.7109375" style="139" customWidth="1"/>
    <col min="48" max="48" width="15.7109375" style="140" customWidth="1"/>
    <col min="49" max="49" width="6.7109375" style="139" customWidth="1"/>
    <col min="50" max="50" width="15.7109375" style="140" customWidth="1"/>
    <col min="51" max="51" width="6.7109375" style="139" customWidth="1"/>
    <col min="52" max="52" width="15.7109375" style="140" customWidth="1"/>
    <col min="53" max="53" width="6.7109375" style="139" customWidth="1"/>
    <col min="54" max="54" width="15.7109375" style="140" customWidth="1"/>
    <col min="55" max="55" width="6.7109375" style="139" customWidth="1"/>
    <col min="56" max="56" width="15.7109375" style="140" customWidth="1"/>
    <col min="57" max="57" width="6.7109375" style="139" customWidth="1"/>
    <col min="58" max="58" width="15.7109375" style="140" customWidth="1"/>
    <col min="59" max="59" width="6.7109375" style="139" customWidth="1"/>
    <col min="60" max="60" width="15.7109375" style="140" customWidth="1"/>
    <col min="61" max="61" width="6.7109375" style="139" customWidth="1"/>
    <col min="62" max="62" width="15.7109375" style="140" customWidth="1"/>
    <col min="63" max="63" width="6.7109375" style="139" customWidth="1"/>
    <col min="64" max="64" width="15.7109375" style="140" customWidth="1"/>
    <col min="65" max="65" width="6.7109375" style="139" customWidth="1"/>
    <col min="66" max="66" width="15.7109375" style="140" customWidth="1"/>
    <col min="67" max="67" width="6.7109375" style="139" customWidth="1"/>
    <col min="68" max="68" width="15.7109375" style="140" customWidth="1"/>
    <col min="69" max="69" width="6.7109375" style="139" customWidth="1"/>
    <col min="70" max="70" width="15.7109375" style="140" customWidth="1"/>
    <col min="71" max="71" width="6.7109375" style="139" customWidth="1"/>
    <col min="72" max="72" width="15.7109375" style="140" customWidth="1"/>
    <col min="73" max="73" width="6.7109375" style="139" customWidth="1"/>
    <col min="74" max="74" width="15.7109375" style="140" customWidth="1"/>
    <col min="75" max="75" width="6.7109375" style="139" customWidth="1"/>
    <col min="76" max="76" width="15.7109375" style="140" customWidth="1"/>
    <col min="77" max="77" width="6.7109375" style="139" customWidth="1"/>
    <col min="78" max="78" width="15.7109375" style="140" customWidth="1"/>
    <col min="79" max="79" width="6.7109375" style="139" customWidth="1"/>
    <col min="80" max="80" width="15.7109375" style="140" customWidth="1"/>
    <col min="81" max="90" width="12.7109375" style="19"/>
    <col min="91" max="91" width="11.42578125" style="19" bestFit="1" customWidth="1"/>
    <col min="92" max="92" width="11.7109375" style="19" bestFit="1" customWidth="1"/>
    <col min="93" max="144" width="12.7109375" style="19"/>
    <col min="145" max="16384" width="12.7109375" style="20"/>
  </cols>
  <sheetData>
    <row r="1" spans="1:144" ht="36" customHeight="1" thickBot="1" x14ac:dyDescent="0.25">
      <c r="A1" s="18"/>
      <c r="B1" s="18"/>
      <c r="C1" s="338" t="s">
        <v>166</v>
      </c>
      <c r="D1" s="338"/>
      <c r="E1" s="338"/>
      <c r="F1" s="338"/>
      <c r="G1" s="338"/>
      <c r="H1" s="338"/>
      <c r="I1" s="332">
        <v>45901</v>
      </c>
      <c r="J1" s="333"/>
      <c r="K1" s="333"/>
      <c r="L1" s="333"/>
      <c r="M1" s="333"/>
      <c r="N1" s="334"/>
      <c r="O1" s="332">
        <v>45931</v>
      </c>
      <c r="P1" s="333"/>
      <c r="Q1" s="333"/>
      <c r="R1" s="333"/>
      <c r="S1" s="333"/>
      <c r="T1" s="334"/>
      <c r="U1" s="332">
        <v>45962</v>
      </c>
      <c r="V1" s="333"/>
      <c r="W1" s="333"/>
      <c r="X1" s="333"/>
      <c r="Y1" s="333"/>
      <c r="Z1" s="334"/>
      <c r="AA1" s="332">
        <v>45992</v>
      </c>
      <c r="AB1" s="333"/>
      <c r="AC1" s="333"/>
      <c r="AD1" s="333"/>
      <c r="AE1" s="333"/>
      <c r="AF1" s="334"/>
      <c r="AG1" s="332">
        <v>46023</v>
      </c>
      <c r="AH1" s="333"/>
      <c r="AI1" s="333"/>
      <c r="AJ1" s="333"/>
      <c r="AK1" s="333"/>
      <c r="AL1" s="334"/>
      <c r="AM1" s="332">
        <v>46054</v>
      </c>
      <c r="AN1" s="333"/>
      <c r="AO1" s="333"/>
      <c r="AP1" s="333"/>
      <c r="AQ1" s="333"/>
      <c r="AR1" s="334"/>
      <c r="AS1" s="332">
        <v>46082</v>
      </c>
      <c r="AT1" s="333"/>
      <c r="AU1" s="333"/>
      <c r="AV1" s="333"/>
      <c r="AW1" s="333"/>
      <c r="AX1" s="334"/>
      <c r="AY1" s="332">
        <v>46113</v>
      </c>
      <c r="AZ1" s="333"/>
      <c r="BA1" s="333"/>
      <c r="BB1" s="333"/>
      <c r="BC1" s="333"/>
      <c r="BD1" s="334"/>
      <c r="BE1" s="332">
        <v>46143</v>
      </c>
      <c r="BF1" s="333"/>
      <c r="BG1" s="333"/>
      <c r="BH1" s="333"/>
      <c r="BI1" s="333"/>
      <c r="BJ1" s="334"/>
      <c r="BK1" s="332">
        <v>46174</v>
      </c>
      <c r="BL1" s="333"/>
      <c r="BM1" s="333"/>
      <c r="BN1" s="333"/>
      <c r="BO1" s="333"/>
      <c r="BP1" s="334"/>
      <c r="BQ1" s="332">
        <v>46204</v>
      </c>
      <c r="BR1" s="333"/>
      <c r="BS1" s="333"/>
      <c r="BT1" s="333"/>
      <c r="BU1" s="333"/>
      <c r="BV1" s="334"/>
      <c r="BW1" s="332">
        <v>46235</v>
      </c>
      <c r="BX1" s="333"/>
      <c r="BY1" s="333"/>
      <c r="BZ1" s="333"/>
      <c r="CA1" s="333"/>
      <c r="CB1" s="334"/>
    </row>
    <row r="2" spans="1:144" s="28" customFormat="1" ht="30" customHeight="1" thickBot="1" x14ac:dyDescent="0.25">
      <c r="A2" s="144" t="s">
        <v>141</v>
      </c>
      <c r="B2" s="145" t="s">
        <v>121</v>
      </c>
      <c r="C2" s="145" t="s">
        <v>120</v>
      </c>
      <c r="D2" s="145" t="s">
        <v>24</v>
      </c>
      <c r="E2" s="145" t="s">
        <v>25</v>
      </c>
      <c r="F2" s="145" t="s">
        <v>118</v>
      </c>
      <c r="G2" s="146" t="s">
        <v>187</v>
      </c>
      <c r="H2" s="147" t="s">
        <v>186</v>
      </c>
      <c r="I2" s="21" t="s">
        <v>140</v>
      </c>
      <c r="J2" s="22" t="s">
        <v>163</v>
      </c>
      <c r="K2" s="23" t="s">
        <v>140</v>
      </c>
      <c r="L2" s="24" t="s">
        <v>249</v>
      </c>
      <c r="M2" s="25"/>
      <c r="N2" s="26" t="s">
        <v>164</v>
      </c>
      <c r="O2" s="21" t="s">
        <v>140</v>
      </c>
      <c r="P2" s="22" t="s">
        <v>163</v>
      </c>
      <c r="Q2" s="23" t="s">
        <v>140</v>
      </c>
      <c r="R2" s="24" t="s">
        <v>249</v>
      </c>
      <c r="S2" s="25"/>
      <c r="T2" s="26" t="s">
        <v>164</v>
      </c>
      <c r="U2" s="21" t="s">
        <v>140</v>
      </c>
      <c r="V2" s="22" t="s">
        <v>163</v>
      </c>
      <c r="W2" s="23" t="s">
        <v>140</v>
      </c>
      <c r="X2" s="24" t="s">
        <v>249</v>
      </c>
      <c r="Y2" s="25"/>
      <c r="Z2" s="26" t="s">
        <v>164</v>
      </c>
      <c r="AA2" s="21" t="s">
        <v>140</v>
      </c>
      <c r="AB2" s="22" t="s">
        <v>163</v>
      </c>
      <c r="AC2" s="23" t="s">
        <v>140</v>
      </c>
      <c r="AD2" s="24" t="s">
        <v>249</v>
      </c>
      <c r="AE2" s="25"/>
      <c r="AF2" s="26" t="s">
        <v>164</v>
      </c>
      <c r="AG2" s="21" t="s">
        <v>140</v>
      </c>
      <c r="AH2" s="22" t="s">
        <v>163</v>
      </c>
      <c r="AI2" s="23" t="s">
        <v>140</v>
      </c>
      <c r="AJ2" s="24" t="s">
        <v>249</v>
      </c>
      <c r="AK2" s="25"/>
      <c r="AL2" s="26" t="s">
        <v>164</v>
      </c>
      <c r="AM2" s="21" t="s">
        <v>140</v>
      </c>
      <c r="AN2" s="22" t="s">
        <v>163</v>
      </c>
      <c r="AO2" s="23" t="s">
        <v>140</v>
      </c>
      <c r="AP2" s="24" t="s">
        <v>249</v>
      </c>
      <c r="AQ2" s="25"/>
      <c r="AR2" s="26" t="s">
        <v>164</v>
      </c>
      <c r="AS2" s="21" t="s">
        <v>140</v>
      </c>
      <c r="AT2" s="22" t="s">
        <v>163</v>
      </c>
      <c r="AU2" s="23" t="s">
        <v>140</v>
      </c>
      <c r="AV2" s="24" t="s">
        <v>249</v>
      </c>
      <c r="AW2" s="25"/>
      <c r="AX2" s="26" t="s">
        <v>164</v>
      </c>
      <c r="AY2" s="21" t="s">
        <v>140</v>
      </c>
      <c r="AZ2" s="22" t="s">
        <v>163</v>
      </c>
      <c r="BA2" s="23" t="s">
        <v>140</v>
      </c>
      <c r="BB2" s="24" t="s">
        <v>249</v>
      </c>
      <c r="BC2" s="25"/>
      <c r="BD2" s="26" t="s">
        <v>164</v>
      </c>
      <c r="BE2" s="21" t="s">
        <v>140</v>
      </c>
      <c r="BF2" s="22" t="s">
        <v>163</v>
      </c>
      <c r="BG2" s="23" t="s">
        <v>140</v>
      </c>
      <c r="BH2" s="24" t="s">
        <v>249</v>
      </c>
      <c r="BI2" s="25"/>
      <c r="BJ2" s="26" t="s">
        <v>164</v>
      </c>
      <c r="BK2" s="21" t="s">
        <v>140</v>
      </c>
      <c r="BL2" s="22" t="s">
        <v>163</v>
      </c>
      <c r="BM2" s="23" t="s">
        <v>140</v>
      </c>
      <c r="BN2" s="24" t="s">
        <v>249</v>
      </c>
      <c r="BO2" s="25"/>
      <c r="BP2" s="26" t="s">
        <v>164</v>
      </c>
      <c r="BQ2" s="21" t="s">
        <v>140</v>
      </c>
      <c r="BR2" s="22" t="s">
        <v>163</v>
      </c>
      <c r="BS2" s="23" t="s">
        <v>140</v>
      </c>
      <c r="BT2" s="24" t="s">
        <v>249</v>
      </c>
      <c r="BU2" s="25"/>
      <c r="BV2" s="26" t="s">
        <v>164</v>
      </c>
      <c r="BW2" s="21" t="s">
        <v>140</v>
      </c>
      <c r="BX2" s="22" t="s">
        <v>163</v>
      </c>
      <c r="BY2" s="23" t="s">
        <v>140</v>
      </c>
      <c r="BZ2" s="24" t="s">
        <v>249</v>
      </c>
      <c r="CA2" s="25"/>
      <c r="CB2" s="26" t="s">
        <v>164</v>
      </c>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row>
    <row r="3" spans="1:144" s="42" customFormat="1" ht="24" customHeight="1" x14ac:dyDescent="0.2">
      <c r="A3" s="29" t="s">
        <v>124</v>
      </c>
      <c r="B3" s="30" t="s">
        <v>134</v>
      </c>
      <c r="C3" s="31" t="s">
        <v>358</v>
      </c>
      <c r="D3" s="32" t="s">
        <v>185</v>
      </c>
      <c r="E3" s="33">
        <v>7940511.1276199995</v>
      </c>
      <c r="F3" s="33">
        <f t="shared" ref="F3:F10" si="0">IFERROR(E3-N3-T3-Z3-AF3-AL3-AR3-AX3-BD3-BJ3-BP3-BV3-CB3,0)</f>
        <v>5860146.6760200001</v>
      </c>
      <c r="G3" s="34">
        <f t="shared" ref="G3:G8" si="1">IFERROR(((J3+P3+X3+AB3+AH3+AN3+AT3+AZ3+BF3+BL3+BR3+BX3)/E3),0)</f>
        <v>0.44083863993467437</v>
      </c>
      <c r="H3" s="35">
        <f t="shared" ref="H3:H10" si="2">IFERROR(((E3-F3)/E3),0)</f>
        <v>0.26199377069868102</v>
      </c>
      <c r="I3" s="36"/>
      <c r="J3" s="37">
        <f>235196.309886149+326945.226</f>
        <v>562141.53588614904</v>
      </c>
      <c r="K3" s="38"/>
      <c r="L3" s="39">
        <f>J3</f>
        <v>562141.53588614904</v>
      </c>
      <c r="M3" s="40"/>
      <c r="N3" s="41">
        <v>562141.46160000004</v>
      </c>
      <c r="O3" s="36"/>
      <c r="P3" s="37">
        <f>234343.17+360567.72</f>
        <v>594910.89</v>
      </c>
      <c r="Q3" s="38"/>
      <c r="R3" s="39">
        <f>P3</f>
        <v>594910.89</v>
      </c>
      <c r="S3" s="40"/>
      <c r="T3" s="41">
        <f>P3</f>
        <v>594910.89</v>
      </c>
      <c r="U3" s="36"/>
      <c r="V3" s="37">
        <v>234343.17</v>
      </c>
      <c r="W3" s="38"/>
      <c r="X3" s="39">
        <f>V3</f>
        <v>234343.17</v>
      </c>
      <c r="Y3" s="40"/>
      <c r="Z3" s="41">
        <v>234343.17</v>
      </c>
      <c r="AA3" s="36"/>
      <c r="AB3" s="37">
        <v>234343.17</v>
      </c>
      <c r="AC3" s="38"/>
      <c r="AD3" s="39">
        <f>AB3</f>
        <v>234343.17</v>
      </c>
      <c r="AE3" s="40"/>
      <c r="AF3" s="41">
        <v>234343.17</v>
      </c>
      <c r="AG3" s="36"/>
      <c r="AH3" s="37">
        <v>234343.17</v>
      </c>
      <c r="AI3" s="38"/>
      <c r="AJ3" s="39">
        <f>AH3</f>
        <v>234343.17</v>
      </c>
      <c r="AK3" s="40"/>
      <c r="AL3" s="41">
        <v>220282.59</v>
      </c>
      <c r="AM3" s="36"/>
      <c r="AN3" s="37">
        <v>234343.17</v>
      </c>
      <c r="AO3" s="38"/>
      <c r="AP3" s="39">
        <f>AN3</f>
        <v>234343.17</v>
      </c>
      <c r="AQ3" s="40"/>
      <c r="AR3" s="41">
        <v>234343.17</v>
      </c>
      <c r="AS3" s="36"/>
      <c r="AT3" s="37">
        <v>234343.17</v>
      </c>
      <c r="AU3" s="38"/>
      <c r="AV3" s="39">
        <f>AT3</f>
        <v>234343.17</v>
      </c>
      <c r="AW3" s="40"/>
      <c r="AX3" s="41"/>
      <c r="AY3" s="36"/>
      <c r="AZ3" s="37">
        <v>234343.17</v>
      </c>
      <c r="BA3" s="38"/>
      <c r="BB3" s="39">
        <f>AZ3</f>
        <v>234343.17</v>
      </c>
      <c r="BC3" s="40"/>
      <c r="BD3" s="41"/>
      <c r="BE3" s="36"/>
      <c r="BF3" s="37">
        <v>234343.17</v>
      </c>
      <c r="BG3" s="38"/>
      <c r="BH3" s="39">
        <f>BF3</f>
        <v>234343.17</v>
      </c>
      <c r="BI3" s="40"/>
      <c r="BJ3" s="41"/>
      <c r="BK3" s="36"/>
      <c r="BL3" s="37">
        <v>234343.17</v>
      </c>
      <c r="BM3" s="38"/>
      <c r="BN3" s="39">
        <f>BL3</f>
        <v>234343.17</v>
      </c>
      <c r="BO3" s="40"/>
      <c r="BP3" s="41"/>
      <c r="BQ3" s="36"/>
      <c r="BR3" s="37">
        <v>234343.17</v>
      </c>
      <c r="BS3" s="38"/>
      <c r="BT3" s="39">
        <f>BR3</f>
        <v>234343.17</v>
      </c>
      <c r="BU3" s="40"/>
      <c r="BV3" s="41"/>
      <c r="BW3" s="36"/>
      <c r="BX3" s="37">
        <v>234343.17</v>
      </c>
      <c r="BY3" s="38"/>
      <c r="BZ3" s="39">
        <f>BX3</f>
        <v>234343.17</v>
      </c>
      <c r="CA3" s="40"/>
      <c r="CB3" s="41"/>
    </row>
    <row r="4" spans="1:144" s="56" customFormat="1" ht="24" customHeight="1" x14ac:dyDescent="0.2">
      <c r="A4" s="43" t="s">
        <v>124</v>
      </c>
      <c r="B4" s="44" t="s">
        <v>135</v>
      </c>
      <c r="C4" s="45" t="s">
        <v>131</v>
      </c>
      <c r="D4" s="46" t="s">
        <v>137</v>
      </c>
      <c r="E4" s="47">
        <v>0</v>
      </c>
      <c r="F4" s="47">
        <f t="shared" si="0"/>
        <v>0</v>
      </c>
      <c r="G4" s="48">
        <f t="shared" si="1"/>
        <v>0</v>
      </c>
      <c r="H4" s="49">
        <f t="shared" si="2"/>
        <v>0</v>
      </c>
      <c r="I4" s="50">
        <f>_xlfn.XLOOKUP($C4,Tb_DISTR.FIN[Nº  SS],Tb_DISTR.FIN[SET.25],"0%",0,1)</f>
        <v>0</v>
      </c>
      <c r="J4" s="69">
        <f t="shared" ref="J4" si="3">$E4*I4</f>
        <v>0</v>
      </c>
      <c r="K4" s="52"/>
      <c r="L4" s="53">
        <f t="shared" ref="L4:L12" si="4">$E4*K4</f>
        <v>0</v>
      </c>
      <c r="M4" s="54"/>
      <c r="N4" s="55">
        <f t="shared" ref="N4:N12" si="5">$E4*M4</f>
        <v>0</v>
      </c>
      <c r="O4" s="50">
        <f>_xlfn.XLOOKUP($C4,Tb_DISTR.FIN[Nº  SS],Tb_DISTR.FIN[OUT.25],"0%",0,1)</f>
        <v>0</v>
      </c>
      <c r="P4" s="69">
        <f t="shared" ref="P4" si="6">$E4*O4</f>
        <v>0</v>
      </c>
      <c r="Q4" s="52"/>
      <c r="R4" s="53">
        <f t="shared" ref="R4:R12" si="7">$E4*Q4</f>
        <v>0</v>
      </c>
      <c r="S4" s="54"/>
      <c r="T4" s="55">
        <f t="shared" ref="T4:T12" si="8">$E4*S4</f>
        <v>0</v>
      </c>
      <c r="U4" s="50">
        <v>0.30000000000000004</v>
      </c>
      <c r="V4" s="69">
        <v>355329.43200000003</v>
      </c>
      <c r="W4" s="52">
        <v>0.30000000000000004</v>
      </c>
      <c r="X4" s="53">
        <v>355329.43200000003</v>
      </c>
      <c r="Y4" s="54"/>
      <c r="Z4" s="55">
        <f t="shared" ref="Z4:Z10" si="9">$E4*Y4</f>
        <v>0</v>
      </c>
      <c r="AA4" s="50">
        <v>0</v>
      </c>
      <c r="AB4" s="69">
        <f t="shared" ref="AB4" si="10">$E4*AA4</f>
        <v>0</v>
      </c>
      <c r="AC4" s="52">
        <f>_xlfn.XLOOKUP($C4,Tb_DISTR.FIN[Nº  SS],Tb_DISTR.FIN[DEZ.25],"0%",0,1)</f>
        <v>0</v>
      </c>
      <c r="AD4" s="53">
        <f t="shared" ref="AD4:AD10" si="11">$E4*AC4</f>
        <v>0</v>
      </c>
      <c r="AE4" s="54"/>
      <c r="AF4" s="55">
        <f t="shared" ref="AF4:AF10" si="12">$E4*AE4</f>
        <v>0</v>
      </c>
      <c r="AG4" s="50">
        <v>0</v>
      </c>
      <c r="AH4" s="69">
        <f t="shared" ref="AH4" si="13">$E4*AG4</f>
        <v>0</v>
      </c>
      <c r="AI4" s="52">
        <v>0</v>
      </c>
      <c r="AJ4" s="53">
        <f t="shared" ref="AJ4:AJ10" si="14">$E4*AI4</f>
        <v>0</v>
      </c>
      <c r="AK4" s="67">
        <f>_xlfn.XLOOKUP($C4,Tb_DISTR.FIN[Nº  SS],Tb_DISTR.FIN[JAN.26],"0%",0,1)</f>
        <v>0</v>
      </c>
      <c r="AL4" s="55">
        <f t="shared" ref="AL4:AL10" si="15">$E4*AK4</f>
        <v>0</v>
      </c>
      <c r="AM4" s="50">
        <v>0</v>
      </c>
      <c r="AN4" s="69">
        <f t="shared" ref="AN4" si="16">$E4*AM4</f>
        <v>0</v>
      </c>
      <c r="AO4" s="52">
        <f t="shared" ref="AO4:AO8" si="17">AM4</f>
        <v>0</v>
      </c>
      <c r="AP4" s="53">
        <f t="shared" ref="AP4:AP12" si="18">$E4*AO4</f>
        <v>0</v>
      </c>
      <c r="AQ4" s="54"/>
      <c r="AR4" s="55">
        <f t="shared" ref="AR4:AR12" si="19">$E4*AQ4</f>
        <v>0</v>
      </c>
      <c r="AS4" s="50">
        <f>_xlfn.XLOOKUP($C4,Tb_DISTR.FIN[Nº  SS],Tb_DISTR.FIN[MAR.26],"0%",0,1)</f>
        <v>0</v>
      </c>
      <c r="AT4" s="69">
        <f t="shared" ref="AT4" si="20">$E4*AS4</f>
        <v>0</v>
      </c>
      <c r="AU4" s="52">
        <f t="shared" ref="AU4:AU12" si="21">AS4</f>
        <v>0</v>
      </c>
      <c r="AV4" s="53">
        <f t="shared" ref="AV4:AV12" si="22">$E4*AU4</f>
        <v>0</v>
      </c>
      <c r="AW4" s="54"/>
      <c r="AX4" s="55">
        <f t="shared" ref="AX4:AX12" si="23">$E4*AW4</f>
        <v>0</v>
      </c>
      <c r="AY4" s="50">
        <f>_xlfn.XLOOKUP($C4,Tb_DISTR.FIN[Nº  SS],Tb_DISTR.FIN[ABR.26],"0%",0,1)</f>
        <v>0</v>
      </c>
      <c r="AZ4" s="69">
        <f t="shared" ref="AZ4" si="24">$E4*AY4</f>
        <v>0</v>
      </c>
      <c r="BA4" s="52">
        <f t="shared" ref="BA4:BA12" si="25">AY4</f>
        <v>0</v>
      </c>
      <c r="BB4" s="53">
        <f t="shared" ref="BB4:BB12" si="26">$E4*BA4</f>
        <v>0</v>
      </c>
      <c r="BC4" s="54"/>
      <c r="BD4" s="55">
        <f t="shared" ref="BD4:BD12" si="27">$E4*BC4</f>
        <v>0</v>
      </c>
      <c r="BE4" s="50">
        <f>_xlfn.XLOOKUP($C4,Tb_DISTR.FIN[Nº  SS],Tb_DISTR.FIN[MAI.26],"0%",0,1)</f>
        <v>0</v>
      </c>
      <c r="BF4" s="69">
        <f t="shared" ref="BF4" si="28">$E4*BE4</f>
        <v>0</v>
      </c>
      <c r="BG4" s="52">
        <f t="shared" ref="BG4:BG12" si="29">BE4</f>
        <v>0</v>
      </c>
      <c r="BH4" s="53">
        <f t="shared" ref="BH4:BH12" si="30">$E4*BG4</f>
        <v>0</v>
      </c>
      <c r="BI4" s="54"/>
      <c r="BJ4" s="55">
        <f t="shared" ref="BJ4:BJ12" si="31">$E4*BI4</f>
        <v>0</v>
      </c>
      <c r="BK4" s="50">
        <f>_xlfn.XLOOKUP($C4,Tb_DISTR.FIN[Nº  SS],Tb_DISTR.FIN[JUN.26],"0%",0,1)</f>
        <v>0</v>
      </c>
      <c r="BL4" s="69">
        <f t="shared" ref="BL4" si="32">$E4*BK4</f>
        <v>0</v>
      </c>
      <c r="BM4" s="52">
        <f t="shared" ref="BM4:BM12" si="33">BK4</f>
        <v>0</v>
      </c>
      <c r="BN4" s="53">
        <f t="shared" ref="BN4:BN12" si="34">$E4*BM4</f>
        <v>0</v>
      </c>
      <c r="BO4" s="54"/>
      <c r="BP4" s="55">
        <f t="shared" ref="BP4:BP12" si="35">$E4*BO4</f>
        <v>0</v>
      </c>
      <c r="BQ4" s="50">
        <f>_xlfn.XLOOKUP($C4,Tb_DISTR.FIN[Nº  SS],Tb_DISTR.FIN[JUL.26],"0%",0,1)</f>
        <v>0</v>
      </c>
      <c r="BR4" s="69">
        <f t="shared" ref="BR4" si="36">$E4*BQ4</f>
        <v>0</v>
      </c>
      <c r="BS4" s="52">
        <f t="shared" ref="BS4:BS12" si="37">BQ4</f>
        <v>0</v>
      </c>
      <c r="BT4" s="53">
        <f t="shared" ref="BT4:BT12" si="38">$E4*BS4</f>
        <v>0</v>
      </c>
      <c r="BU4" s="54"/>
      <c r="BV4" s="55">
        <f t="shared" ref="BV4:BV12" si="39">$E4*BU4</f>
        <v>0</v>
      </c>
      <c r="BW4" s="50">
        <f>_xlfn.XLOOKUP($C4,Tb_DISTR.FIN[Nº  SS],Tb_DISTR.FIN[AGO.26],"0%",0,1)</f>
        <v>0</v>
      </c>
      <c r="BX4" s="69">
        <f t="shared" ref="BX4" si="40">$E4*BW4</f>
        <v>0</v>
      </c>
      <c r="BY4" s="52">
        <f t="shared" ref="BY4:BY12" si="41">BW4</f>
        <v>0</v>
      </c>
      <c r="BZ4" s="53">
        <f t="shared" ref="BZ4:BZ12" si="42">$E4*BY4</f>
        <v>0</v>
      </c>
      <c r="CA4" s="54"/>
      <c r="CB4" s="55">
        <f t="shared" ref="CB4:CB12" si="43">$E4*CA4</f>
        <v>0</v>
      </c>
    </row>
    <row r="5" spans="1:144" s="42" customFormat="1" ht="24" customHeight="1" x14ac:dyDescent="0.2">
      <c r="A5" s="57" t="s">
        <v>124</v>
      </c>
      <c r="B5" s="58" t="s">
        <v>136</v>
      </c>
      <c r="C5" s="59" t="s">
        <v>132</v>
      </c>
      <c r="D5" s="60" t="s">
        <v>138</v>
      </c>
      <c r="E5" s="61">
        <v>1662818.2901999999</v>
      </c>
      <c r="F5" s="61">
        <f t="shared" si="0"/>
        <v>465589.12125600001</v>
      </c>
      <c r="G5" s="62">
        <f>IFERROR(((J5+P5+Z5+AD5+AH5+AN5+AT5+AZ5+BF5+BL5+BR5+BX5)/E5),0)</f>
        <v>1</v>
      </c>
      <c r="H5" s="63">
        <f t="shared" si="2"/>
        <v>0.71999999999999986</v>
      </c>
      <c r="I5" s="64">
        <f>_xlfn.XLOOKUP($C5,Tb_DISTR.FIN[Nº  SS],Tb_DISTR.FIN[SET.25],"0%",0,1)</f>
        <v>0</v>
      </c>
      <c r="J5" s="51">
        <f t="shared" ref="J5:J12" si="44">$E5*I5</f>
        <v>0</v>
      </c>
      <c r="K5" s="65"/>
      <c r="L5" s="66">
        <f t="shared" si="4"/>
        <v>0</v>
      </c>
      <c r="M5" s="67"/>
      <c r="N5" s="68">
        <f t="shared" si="5"/>
        <v>0</v>
      </c>
      <c r="O5" s="64">
        <f>_xlfn.XLOOKUP($C5,Tb_DISTR.FIN[Nº  SS],Tb_DISTR.FIN[OUT.25],"0%",0,1)</f>
        <v>0.1</v>
      </c>
      <c r="P5" s="51">
        <f t="shared" ref="P5:P12" si="45">$E5*O5</f>
        <v>166281.82902</v>
      </c>
      <c r="Q5" s="65">
        <f t="shared" ref="Q5:Q6" si="46">O5</f>
        <v>0.1</v>
      </c>
      <c r="R5" s="66">
        <f t="shared" si="7"/>
        <v>166281.82902</v>
      </c>
      <c r="S5" s="67">
        <f>O5</f>
        <v>0.1</v>
      </c>
      <c r="T5" s="68">
        <f t="shared" si="8"/>
        <v>166281.82902</v>
      </c>
      <c r="U5" s="64">
        <v>0.24000000000000002</v>
      </c>
      <c r="V5" s="51">
        <f t="shared" ref="V5:V10" si="47">$E5*U5</f>
        <v>399076.38964800001</v>
      </c>
      <c r="W5" s="65">
        <v>0.24000000000000002</v>
      </c>
      <c r="X5" s="66">
        <f t="shared" ref="X5:X10" si="48">$E5*W5</f>
        <v>399076.38964800001</v>
      </c>
      <c r="Y5" s="67">
        <v>0.2</v>
      </c>
      <c r="Z5" s="68">
        <f t="shared" si="9"/>
        <v>332563.65804000001</v>
      </c>
      <c r="AA5" s="64">
        <v>0.08</v>
      </c>
      <c r="AB5" s="51">
        <f t="shared" ref="AB5:AB10" si="49">$E5*AA5</f>
        <v>133025.463216</v>
      </c>
      <c r="AC5" s="65">
        <f>_xlfn.XLOOKUP($C5,Tb_DISTR.FIN[Nº  SS],Tb_DISTR.FIN[DEZ.25],"0%",0,1)</f>
        <v>0.27</v>
      </c>
      <c r="AD5" s="66">
        <f t="shared" si="11"/>
        <v>448960.93835399998</v>
      </c>
      <c r="AE5" s="67">
        <v>0.27</v>
      </c>
      <c r="AF5" s="68">
        <f t="shared" si="12"/>
        <v>448960.93835399998</v>
      </c>
      <c r="AG5" s="64">
        <v>0.08</v>
      </c>
      <c r="AH5" s="51">
        <f t="shared" ref="AH5:AH10" si="50">$E5*AG5</f>
        <v>133025.463216</v>
      </c>
      <c r="AI5" s="65">
        <v>0.08</v>
      </c>
      <c r="AJ5" s="66">
        <f t="shared" si="14"/>
        <v>133025.463216</v>
      </c>
      <c r="AK5" s="67">
        <f>_xlfn.XLOOKUP($C5,Tb_DISTR.FIN[Nº  SS],Tb_DISTR.FIN[JAN.26],"0%",0,1)</f>
        <v>0.08</v>
      </c>
      <c r="AL5" s="68">
        <f t="shared" si="15"/>
        <v>133025.463216</v>
      </c>
      <c r="AM5" s="64">
        <v>7.0000000000000007E-2</v>
      </c>
      <c r="AN5" s="51">
        <f>$E5*AM5</f>
        <v>116397.280314</v>
      </c>
      <c r="AO5" s="65">
        <f t="shared" si="17"/>
        <v>7.0000000000000007E-2</v>
      </c>
      <c r="AP5" s="66">
        <f t="shared" si="18"/>
        <v>116397.280314</v>
      </c>
      <c r="AQ5" s="67">
        <v>7.0000000000000007E-2</v>
      </c>
      <c r="AR5" s="68">
        <f t="shared" si="19"/>
        <v>116397.280314</v>
      </c>
      <c r="AS5" s="64">
        <f>_xlfn.XLOOKUP($C5,Tb_DISTR.FIN[Nº  SS],Tb_DISTR.FIN[MAR.26],"0%",0,1)</f>
        <v>0.09</v>
      </c>
      <c r="AT5" s="51">
        <f t="shared" ref="AT5:AT12" si="51">$E5*AS5</f>
        <v>149653.64611799998</v>
      </c>
      <c r="AU5" s="65">
        <f t="shared" si="21"/>
        <v>0.09</v>
      </c>
      <c r="AV5" s="66">
        <f t="shared" si="22"/>
        <v>149653.64611799998</v>
      </c>
      <c r="AW5" s="67"/>
      <c r="AX5" s="68">
        <f t="shared" si="23"/>
        <v>0</v>
      </c>
      <c r="AY5" s="64">
        <f>_xlfn.XLOOKUP($C5,Tb_DISTR.FIN[Nº  SS],Tb_DISTR.FIN[ABR.26],"0%",0,1)</f>
        <v>0.05</v>
      </c>
      <c r="AZ5" s="51">
        <f t="shared" ref="AZ5:AZ12" si="52">$E5*AY5</f>
        <v>83140.914510000002</v>
      </c>
      <c r="BA5" s="65">
        <f t="shared" si="25"/>
        <v>0.05</v>
      </c>
      <c r="BB5" s="66">
        <f t="shared" si="26"/>
        <v>83140.914510000002</v>
      </c>
      <c r="BC5" s="67"/>
      <c r="BD5" s="68">
        <f t="shared" si="27"/>
        <v>0</v>
      </c>
      <c r="BE5" s="64">
        <f>_xlfn.XLOOKUP($C5,Tb_DISTR.FIN[Nº  SS],Tb_DISTR.FIN[MAI.26],"0%",0,1)</f>
        <v>0.14000000000000001</v>
      </c>
      <c r="BF5" s="51">
        <f t="shared" ref="BF5:BF12" si="53">$E5*BE5</f>
        <v>232794.56062800001</v>
      </c>
      <c r="BG5" s="65">
        <f t="shared" si="29"/>
        <v>0.14000000000000001</v>
      </c>
      <c r="BH5" s="66">
        <f t="shared" si="30"/>
        <v>232794.56062800001</v>
      </c>
      <c r="BI5" s="67"/>
      <c r="BJ5" s="68">
        <f t="shared" si="31"/>
        <v>0</v>
      </c>
      <c r="BK5" s="64">
        <f>_xlfn.XLOOKUP($C5,Tb_DISTR.FIN[Nº  SS],Tb_DISTR.FIN[JUN.26],"0%",0,1)</f>
        <v>0</v>
      </c>
      <c r="BL5" s="51">
        <f t="shared" ref="BL5:BL12" si="54">$E5*BK5</f>
        <v>0</v>
      </c>
      <c r="BM5" s="65">
        <f t="shared" si="33"/>
        <v>0</v>
      </c>
      <c r="BN5" s="66">
        <f t="shared" si="34"/>
        <v>0</v>
      </c>
      <c r="BO5" s="67"/>
      <c r="BP5" s="68">
        <f t="shared" si="35"/>
        <v>0</v>
      </c>
      <c r="BQ5" s="64">
        <f>_xlfn.XLOOKUP($C5,Tb_DISTR.FIN[Nº  SS],Tb_DISTR.FIN[JUL.26],"0%",0,1)</f>
        <v>0</v>
      </c>
      <c r="BR5" s="51">
        <f t="shared" ref="BR5:BR12" si="55">$E5*BQ5</f>
        <v>0</v>
      </c>
      <c r="BS5" s="65">
        <f t="shared" si="37"/>
        <v>0</v>
      </c>
      <c r="BT5" s="66">
        <f t="shared" si="38"/>
        <v>0</v>
      </c>
      <c r="BU5" s="67"/>
      <c r="BV5" s="68">
        <f t="shared" si="39"/>
        <v>0</v>
      </c>
      <c r="BW5" s="64">
        <f>_xlfn.XLOOKUP($C5,Tb_DISTR.FIN[Nº  SS],Tb_DISTR.FIN[AGO.26],"0%",0,1)</f>
        <v>0</v>
      </c>
      <c r="BX5" s="51">
        <f t="shared" ref="BX5:BX12" si="56">$E5*BW5</f>
        <v>0</v>
      </c>
      <c r="BY5" s="65">
        <f t="shared" si="41"/>
        <v>0</v>
      </c>
      <c r="BZ5" s="66">
        <f t="shared" si="42"/>
        <v>0</v>
      </c>
      <c r="CA5" s="67"/>
      <c r="CB5" s="68">
        <f t="shared" si="43"/>
        <v>0</v>
      </c>
    </row>
    <row r="6" spans="1:144" s="42" customFormat="1" ht="24" customHeight="1" x14ac:dyDescent="0.2">
      <c r="A6" s="57" t="s">
        <v>124</v>
      </c>
      <c r="B6" s="58" t="s">
        <v>136</v>
      </c>
      <c r="C6" s="59" t="s">
        <v>133</v>
      </c>
      <c r="D6" s="60" t="s">
        <v>139</v>
      </c>
      <c r="E6" s="61">
        <v>228497.9724</v>
      </c>
      <c r="F6" s="61">
        <f t="shared" si="0"/>
        <v>-1.4551915228366852E-11</v>
      </c>
      <c r="G6" s="62">
        <f>IFERROR(((J6+P6+X6+AB6+AH6+AN6+AT6+AZ6+BF6+BL6+BR6+BX6)/E6),0)-35%</f>
        <v>1</v>
      </c>
      <c r="H6" s="63">
        <f t="shared" si="2"/>
        <v>1.0000000000000002</v>
      </c>
      <c r="I6" s="64">
        <f>_xlfn.XLOOKUP($C6,Tb_DISTR.FIN[Nº  SS],Tb_DISTR.FIN[SET.25],"0%",0,1)</f>
        <v>0</v>
      </c>
      <c r="J6" s="51">
        <f t="shared" si="44"/>
        <v>0</v>
      </c>
      <c r="K6" s="65"/>
      <c r="L6" s="66">
        <f t="shared" si="4"/>
        <v>0</v>
      </c>
      <c r="M6" s="67"/>
      <c r="N6" s="68">
        <f t="shared" si="5"/>
        <v>0</v>
      </c>
      <c r="O6" s="64">
        <f>_xlfn.XLOOKUP($C6,Tb_DISTR.FIN[Nº  SS],Tb_DISTR.FIN[OUT.25],"0%",0,1)</f>
        <v>0.30000000000000004</v>
      </c>
      <c r="P6" s="51">
        <f t="shared" si="45"/>
        <v>68549.391720000014</v>
      </c>
      <c r="Q6" s="65">
        <f t="shared" si="46"/>
        <v>0.30000000000000004</v>
      </c>
      <c r="R6" s="66">
        <f t="shared" si="7"/>
        <v>68549.391720000014</v>
      </c>
      <c r="S6" s="67">
        <f>O6</f>
        <v>0.30000000000000004</v>
      </c>
      <c r="T6" s="68">
        <f t="shared" si="8"/>
        <v>68549.391720000014</v>
      </c>
      <c r="U6" s="64">
        <v>0.2</v>
      </c>
      <c r="V6" s="51">
        <f t="shared" si="47"/>
        <v>45699.59448</v>
      </c>
      <c r="W6" s="65">
        <v>0.2</v>
      </c>
      <c r="X6" s="66">
        <f t="shared" si="48"/>
        <v>45699.59448</v>
      </c>
      <c r="Y6" s="67">
        <v>0.2</v>
      </c>
      <c r="Z6" s="68">
        <f t="shared" si="9"/>
        <v>45699.59448</v>
      </c>
      <c r="AA6" s="64">
        <v>0.5</v>
      </c>
      <c r="AB6" s="51">
        <f t="shared" si="49"/>
        <v>114248.9862</v>
      </c>
      <c r="AC6" s="65">
        <f>_xlfn.XLOOKUP($C6,Tb_DISTR.FIN[Nº  SS],Tb_DISTR.FIN[DEZ.25],"0%",0,1)</f>
        <v>0.15</v>
      </c>
      <c r="AD6" s="66">
        <f t="shared" si="11"/>
        <v>34274.69586</v>
      </c>
      <c r="AE6" s="67">
        <v>0.15</v>
      </c>
      <c r="AF6" s="68">
        <f t="shared" si="12"/>
        <v>34274.69586</v>
      </c>
      <c r="AG6" s="64">
        <v>0.35</v>
      </c>
      <c r="AH6" s="51">
        <f t="shared" si="50"/>
        <v>79974.290339999992</v>
      </c>
      <c r="AI6" s="65">
        <v>0.35</v>
      </c>
      <c r="AJ6" s="66">
        <f t="shared" si="14"/>
        <v>79974.290339999992</v>
      </c>
      <c r="AK6" s="67">
        <f>_xlfn.XLOOKUP($C6,Tb_DISTR.FIN[Nº  SS],Tb_DISTR.FIN[JAN.26],"0%",0,1)</f>
        <v>0.35</v>
      </c>
      <c r="AL6" s="68">
        <f t="shared" si="15"/>
        <v>79974.290339999992</v>
      </c>
      <c r="AM6" s="64">
        <v>0</v>
      </c>
      <c r="AN6" s="51">
        <f t="shared" ref="AN6:AN12" si="57">$E6*AM6</f>
        <v>0</v>
      </c>
      <c r="AO6" s="65">
        <f t="shared" si="17"/>
        <v>0</v>
      </c>
      <c r="AP6" s="66">
        <f t="shared" si="18"/>
        <v>0</v>
      </c>
      <c r="AQ6" s="67"/>
      <c r="AR6" s="68">
        <f t="shared" si="19"/>
        <v>0</v>
      </c>
      <c r="AS6" s="64">
        <f>_xlfn.XLOOKUP($C6,Tb_DISTR.FIN[Nº  SS],Tb_DISTR.FIN[MAR.26],"0%",0,1)</f>
        <v>0</v>
      </c>
      <c r="AT6" s="51">
        <f t="shared" si="51"/>
        <v>0</v>
      </c>
      <c r="AU6" s="65">
        <f t="shared" si="21"/>
        <v>0</v>
      </c>
      <c r="AV6" s="66">
        <f t="shared" si="22"/>
        <v>0</v>
      </c>
      <c r="AW6" s="67"/>
      <c r="AX6" s="68">
        <f t="shared" si="23"/>
        <v>0</v>
      </c>
      <c r="AY6" s="64">
        <f>_xlfn.XLOOKUP($C6,Tb_DISTR.FIN[Nº  SS],Tb_DISTR.FIN[ABR.26],"0%",0,1)</f>
        <v>0</v>
      </c>
      <c r="AZ6" s="51">
        <f t="shared" si="52"/>
        <v>0</v>
      </c>
      <c r="BA6" s="65">
        <f t="shared" si="25"/>
        <v>0</v>
      </c>
      <c r="BB6" s="66">
        <f t="shared" si="26"/>
        <v>0</v>
      </c>
      <c r="BC6" s="67"/>
      <c r="BD6" s="68">
        <f t="shared" si="27"/>
        <v>0</v>
      </c>
      <c r="BE6" s="64">
        <f>_xlfn.XLOOKUP($C6,Tb_DISTR.FIN[Nº  SS],Tb_DISTR.FIN[MAI.26],"0%",0,1)</f>
        <v>0</v>
      </c>
      <c r="BF6" s="51">
        <f t="shared" si="53"/>
        <v>0</v>
      </c>
      <c r="BG6" s="65">
        <f t="shared" si="29"/>
        <v>0</v>
      </c>
      <c r="BH6" s="66">
        <f t="shared" si="30"/>
        <v>0</v>
      </c>
      <c r="BI6" s="67"/>
      <c r="BJ6" s="68">
        <f t="shared" si="31"/>
        <v>0</v>
      </c>
      <c r="BK6" s="64">
        <f>_xlfn.XLOOKUP($C6,Tb_DISTR.FIN[Nº  SS],Tb_DISTR.FIN[JUN.26],"0%",0,1)</f>
        <v>0</v>
      </c>
      <c r="BL6" s="51">
        <f t="shared" si="54"/>
        <v>0</v>
      </c>
      <c r="BM6" s="65">
        <f t="shared" si="33"/>
        <v>0</v>
      </c>
      <c r="BN6" s="66">
        <f t="shared" si="34"/>
        <v>0</v>
      </c>
      <c r="BO6" s="67"/>
      <c r="BP6" s="68">
        <f t="shared" si="35"/>
        <v>0</v>
      </c>
      <c r="BQ6" s="64">
        <f>_xlfn.XLOOKUP($C6,Tb_DISTR.FIN[Nº  SS],Tb_DISTR.FIN[JUL.26],"0%",0,1)</f>
        <v>0</v>
      </c>
      <c r="BR6" s="51">
        <f t="shared" si="55"/>
        <v>0</v>
      </c>
      <c r="BS6" s="65">
        <f t="shared" si="37"/>
        <v>0</v>
      </c>
      <c r="BT6" s="66">
        <f t="shared" si="38"/>
        <v>0</v>
      </c>
      <c r="BU6" s="67"/>
      <c r="BV6" s="68">
        <f t="shared" si="39"/>
        <v>0</v>
      </c>
      <c r="BW6" s="64">
        <f>_xlfn.XLOOKUP($C6,Tb_DISTR.FIN[Nº  SS],Tb_DISTR.FIN[AGO.26],"0%",0,1)</f>
        <v>0</v>
      </c>
      <c r="BX6" s="51">
        <f t="shared" si="56"/>
        <v>0</v>
      </c>
      <c r="BY6" s="65">
        <f t="shared" si="41"/>
        <v>0</v>
      </c>
      <c r="BZ6" s="66">
        <f t="shared" si="42"/>
        <v>0</v>
      </c>
      <c r="CA6" s="67"/>
      <c r="CB6" s="68">
        <f t="shared" si="43"/>
        <v>0</v>
      </c>
    </row>
    <row r="7" spans="1:144" s="42" customFormat="1" ht="24" customHeight="1" x14ac:dyDescent="0.2">
      <c r="A7" s="220" t="s">
        <v>124</v>
      </c>
      <c r="B7" s="221" t="s">
        <v>169</v>
      </c>
      <c r="C7" s="222" t="s">
        <v>170</v>
      </c>
      <c r="D7" s="223" t="s">
        <v>171</v>
      </c>
      <c r="E7" s="224">
        <v>1233914.52</v>
      </c>
      <c r="F7" s="224">
        <f t="shared" si="0"/>
        <v>518244.09840000008</v>
      </c>
      <c r="G7" s="225">
        <f t="shared" si="1"/>
        <v>1.0000000000000002</v>
      </c>
      <c r="H7" s="226">
        <f t="shared" si="2"/>
        <v>0.57999999999999996</v>
      </c>
      <c r="I7" s="64">
        <f>_xlfn.XLOOKUP($C7,Tb_DISTR.FIN[Nº  SS],Tb_DISTR.FIN[SET.25],"0%",0,1)</f>
        <v>0</v>
      </c>
      <c r="J7" s="51">
        <f t="shared" si="44"/>
        <v>0</v>
      </c>
      <c r="K7" s="65"/>
      <c r="L7" s="66">
        <f t="shared" si="4"/>
        <v>0</v>
      </c>
      <c r="M7" s="67"/>
      <c r="N7" s="227">
        <f t="shared" si="5"/>
        <v>0</v>
      </c>
      <c r="O7" s="64">
        <f>_xlfn.XLOOKUP($C7,Tb_DISTR.FIN[Nº  SS],Tb_DISTR.FIN[OUT.25],"0%",0,1)</f>
        <v>0</v>
      </c>
      <c r="P7" s="51">
        <f t="shared" si="45"/>
        <v>0</v>
      </c>
      <c r="Q7" s="65"/>
      <c r="R7" s="66">
        <f t="shared" si="7"/>
        <v>0</v>
      </c>
      <c r="S7" s="67"/>
      <c r="T7" s="227">
        <f t="shared" si="8"/>
        <v>0</v>
      </c>
      <c r="U7" s="64">
        <v>0.30000000000000004</v>
      </c>
      <c r="V7" s="51">
        <f t="shared" si="47"/>
        <v>370174.35600000009</v>
      </c>
      <c r="W7" s="65">
        <v>0.30000000000000004</v>
      </c>
      <c r="X7" s="66">
        <f t="shared" si="48"/>
        <v>370174.35600000009</v>
      </c>
      <c r="Y7" s="67">
        <v>0.3</v>
      </c>
      <c r="Z7" s="227">
        <f t="shared" si="9"/>
        <v>370174.35599999997</v>
      </c>
      <c r="AA7" s="64">
        <v>0.08</v>
      </c>
      <c r="AB7" s="51">
        <f t="shared" si="49"/>
        <v>98713.161600000007</v>
      </c>
      <c r="AC7" s="65">
        <f>_xlfn.XLOOKUP($C7,Tb_DISTR.FIN[Nº  SS],Tb_DISTR.FIN[DEZ.25],"0%",0,1)</f>
        <v>0.08</v>
      </c>
      <c r="AD7" s="66">
        <f t="shared" si="11"/>
        <v>98713.161600000007</v>
      </c>
      <c r="AE7" s="67">
        <v>0.08</v>
      </c>
      <c r="AF7" s="227">
        <f t="shared" si="12"/>
        <v>98713.161600000007</v>
      </c>
      <c r="AG7" s="64">
        <v>0.1</v>
      </c>
      <c r="AH7" s="51">
        <f t="shared" si="50"/>
        <v>123391.452</v>
      </c>
      <c r="AI7" s="65">
        <v>0.1</v>
      </c>
      <c r="AJ7" s="66">
        <f t="shared" si="14"/>
        <v>123391.452</v>
      </c>
      <c r="AK7" s="67">
        <f>_xlfn.XLOOKUP($C7,Tb_DISTR.FIN[Nº  SS],Tb_DISTR.FIN[JAN.26],"0%",0,1)</f>
        <v>0.1</v>
      </c>
      <c r="AL7" s="227">
        <f t="shared" si="15"/>
        <v>123391.452</v>
      </c>
      <c r="AM7" s="64">
        <v>0.1</v>
      </c>
      <c r="AN7" s="51">
        <f>$E7*AM7</f>
        <v>123391.452</v>
      </c>
      <c r="AO7" s="65">
        <f t="shared" si="17"/>
        <v>0.1</v>
      </c>
      <c r="AP7" s="66">
        <f t="shared" si="18"/>
        <v>123391.452</v>
      </c>
      <c r="AQ7" s="67">
        <v>0.1</v>
      </c>
      <c r="AR7" s="227">
        <f t="shared" si="19"/>
        <v>123391.452</v>
      </c>
      <c r="AS7" s="64">
        <f>_xlfn.XLOOKUP($C7,Tb_DISTR.FIN[Nº  SS],Tb_DISTR.FIN[MAR.26],"0%",0,1)</f>
        <v>0.09</v>
      </c>
      <c r="AT7" s="51">
        <f t="shared" si="51"/>
        <v>111052.30679999999</v>
      </c>
      <c r="AU7" s="65">
        <f t="shared" si="21"/>
        <v>0.09</v>
      </c>
      <c r="AV7" s="66">
        <f t="shared" si="22"/>
        <v>111052.30679999999</v>
      </c>
      <c r="AW7" s="67"/>
      <c r="AX7" s="227">
        <f t="shared" si="23"/>
        <v>0</v>
      </c>
      <c r="AY7" s="64">
        <f>_xlfn.XLOOKUP($C7,Tb_DISTR.FIN[Nº  SS],Tb_DISTR.FIN[ABR.26],"0%",0,1)</f>
        <v>0.09</v>
      </c>
      <c r="AZ7" s="51">
        <f t="shared" si="52"/>
        <v>111052.30679999999</v>
      </c>
      <c r="BA7" s="65">
        <f t="shared" si="25"/>
        <v>0.09</v>
      </c>
      <c r="BB7" s="66">
        <f t="shared" si="26"/>
        <v>111052.30679999999</v>
      </c>
      <c r="BC7" s="67"/>
      <c r="BD7" s="227">
        <f t="shared" si="27"/>
        <v>0</v>
      </c>
      <c r="BE7" s="64">
        <f>_xlfn.XLOOKUP($C7,Tb_DISTR.FIN[Nº  SS],Tb_DISTR.FIN[MAI.26],"0%",0,1)</f>
        <v>0.09</v>
      </c>
      <c r="BF7" s="51">
        <f t="shared" si="53"/>
        <v>111052.30679999999</v>
      </c>
      <c r="BG7" s="65">
        <f t="shared" si="29"/>
        <v>0.09</v>
      </c>
      <c r="BH7" s="66">
        <f t="shared" si="30"/>
        <v>111052.30679999999</v>
      </c>
      <c r="BI7" s="67"/>
      <c r="BJ7" s="227">
        <f t="shared" si="31"/>
        <v>0</v>
      </c>
      <c r="BK7" s="64">
        <f>_xlfn.XLOOKUP($C7,Tb_DISTR.FIN[Nº  SS],Tb_DISTR.FIN[JUN.26],"0%",0,1)</f>
        <v>0.15000000000000002</v>
      </c>
      <c r="BL7" s="51">
        <f t="shared" si="54"/>
        <v>185087.17800000004</v>
      </c>
      <c r="BM7" s="65">
        <f t="shared" si="33"/>
        <v>0.15000000000000002</v>
      </c>
      <c r="BN7" s="66">
        <f t="shared" si="34"/>
        <v>185087.17800000004</v>
      </c>
      <c r="BO7" s="67"/>
      <c r="BP7" s="227">
        <f t="shared" si="35"/>
        <v>0</v>
      </c>
      <c r="BQ7" s="64">
        <f>_xlfn.XLOOKUP($C7,Tb_DISTR.FIN[Nº  SS],Tb_DISTR.FIN[JUL.26],"0%",0,1)</f>
        <v>0</v>
      </c>
      <c r="BR7" s="51">
        <f t="shared" si="55"/>
        <v>0</v>
      </c>
      <c r="BS7" s="65">
        <f t="shared" si="37"/>
        <v>0</v>
      </c>
      <c r="BT7" s="66">
        <f t="shared" si="38"/>
        <v>0</v>
      </c>
      <c r="BU7" s="67"/>
      <c r="BV7" s="227">
        <f t="shared" si="39"/>
        <v>0</v>
      </c>
      <c r="BW7" s="64">
        <f>_xlfn.XLOOKUP($C7,Tb_DISTR.FIN[Nº  SS],Tb_DISTR.FIN[AGO.26],"0%",0,1)</f>
        <v>0</v>
      </c>
      <c r="BX7" s="51">
        <f t="shared" si="56"/>
        <v>0</v>
      </c>
      <c r="BY7" s="65">
        <f t="shared" si="41"/>
        <v>0</v>
      </c>
      <c r="BZ7" s="66">
        <f t="shared" si="42"/>
        <v>0</v>
      </c>
      <c r="CA7" s="67"/>
      <c r="CB7" s="227">
        <f t="shared" si="43"/>
        <v>0</v>
      </c>
    </row>
    <row r="8" spans="1:144" s="42" customFormat="1" ht="24" customHeight="1" x14ac:dyDescent="0.2">
      <c r="A8" s="287" t="s">
        <v>124</v>
      </c>
      <c r="B8" s="288" t="s">
        <v>196</v>
      </c>
      <c r="C8" s="289" t="s">
        <v>183</v>
      </c>
      <c r="D8" s="290" t="s">
        <v>182</v>
      </c>
      <c r="E8" s="291">
        <v>90327.9</v>
      </c>
      <c r="F8" s="291">
        <f t="shared" si="0"/>
        <v>7.2759576141834259E-12</v>
      </c>
      <c r="G8" s="292">
        <f t="shared" si="1"/>
        <v>1</v>
      </c>
      <c r="H8" s="293">
        <f t="shared" si="2"/>
        <v>1</v>
      </c>
      <c r="I8" s="64">
        <f>_xlfn.XLOOKUP($C8,Tb_DISTR.FIN[Nº  SS],Tb_DISTR.FIN[SET.25],"0%",0,1)</f>
        <v>0</v>
      </c>
      <c r="J8" s="51">
        <f t="shared" si="44"/>
        <v>0</v>
      </c>
      <c r="K8" s="65"/>
      <c r="L8" s="66">
        <f t="shared" si="4"/>
        <v>0</v>
      </c>
      <c r="M8" s="67"/>
      <c r="N8" s="68">
        <f t="shared" si="5"/>
        <v>0</v>
      </c>
      <c r="O8" s="64">
        <f>_xlfn.XLOOKUP($C8,Tb_DISTR.FIN[Nº  SS],Tb_DISTR.FIN[OUT.25],"0%",0,1)</f>
        <v>0</v>
      </c>
      <c r="P8" s="51">
        <f t="shared" si="45"/>
        <v>0</v>
      </c>
      <c r="Q8" s="65"/>
      <c r="R8" s="66">
        <f t="shared" si="7"/>
        <v>0</v>
      </c>
      <c r="S8" s="67"/>
      <c r="T8" s="68">
        <f t="shared" si="8"/>
        <v>0</v>
      </c>
      <c r="U8" s="64">
        <v>0.75000000000000011</v>
      </c>
      <c r="V8" s="51">
        <f t="shared" si="47"/>
        <v>67745.925000000003</v>
      </c>
      <c r="W8" s="65">
        <v>0.75000000000000011</v>
      </c>
      <c r="X8" s="66">
        <f t="shared" si="48"/>
        <v>67745.925000000003</v>
      </c>
      <c r="Y8" s="67">
        <v>0.75</v>
      </c>
      <c r="Z8" s="68">
        <f t="shared" si="9"/>
        <v>67745.924999999988</v>
      </c>
      <c r="AA8" s="64">
        <v>0.25</v>
      </c>
      <c r="AB8" s="51">
        <f t="shared" si="49"/>
        <v>22581.974999999999</v>
      </c>
      <c r="AC8" s="65">
        <f>_xlfn.XLOOKUP($C8,Tb_DISTR.FIN[Nº  SS],Tb_DISTR.FIN[DEZ.25],"0%",0,1)</f>
        <v>0.25</v>
      </c>
      <c r="AD8" s="66">
        <f t="shared" si="11"/>
        <v>22581.974999999999</v>
      </c>
      <c r="AE8" s="67">
        <v>0.25</v>
      </c>
      <c r="AF8" s="68">
        <f t="shared" si="12"/>
        <v>22581.974999999999</v>
      </c>
      <c r="AG8" s="64">
        <v>0</v>
      </c>
      <c r="AH8" s="51">
        <f t="shared" si="50"/>
        <v>0</v>
      </c>
      <c r="AI8" s="65">
        <v>0</v>
      </c>
      <c r="AJ8" s="66">
        <f t="shared" si="14"/>
        <v>0</v>
      </c>
      <c r="AK8" s="67">
        <f>_xlfn.XLOOKUP($C8,Tb_DISTR.FIN[Nº  SS],Tb_DISTR.FIN[JAN.26],"0%",0,1)</f>
        <v>0</v>
      </c>
      <c r="AL8" s="68">
        <f t="shared" si="15"/>
        <v>0</v>
      </c>
      <c r="AM8" s="64">
        <v>0</v>
      </c>
      <c r="AN8" s="51">
        <f t="shared" si="57"/>
        <v>0</v>
      </c>
      <c r="AO8" s="65">
        <f t="shared" si="17"/>
        <v>0</v>
      </c>
      <c r="AP8" s="66">
        <f t="shared" si="18"/>
        <v>0</v>
      </c>
      <c r="AQ8" s="67"/>
      <c r="AR8" s="68">
        <f t="shared" si="19"/>
        <v>0</v>
      </c>
      <c r="AS8" s="64">
        <f>_xlfn.XLOOKUP($C8,Tb_DISTR.FIN[Nº  SS],Tb_DISTR.FIN[MAR.26],"0%",0,1)</f>
        <v>0</v>
      </c>
      <c r="AT8" s="51">
        <f t="shared" si="51"/>
        <v>0</v>
      </c>
      <c r="AU8" s="65">
        <f t="shared" si="21"/>
        <v>0</v>
      </c>
      <c r="AV8" s="66">
        <f t="shared" si="22"/>
        <v>0</v>
      </c>
      <c r="AW8" s="67"/>
      <c r="AX8" s="68">
        <f t="shared" si="23"/>
        <v>0</v>
      </c>
      <c r="AY8" s="64">
        <f>_xlfn.XLOOKUP($C8,Tb_DISTR.FIN[Nº  SS],Tb_DISTR.FIN[ABR.26],"0%",0,1)</f>
        <v>0</v>
      </c>
      <c r="AZ8" s="51">
        <f t="shared" si="52"/>
        <v>0</v>
      </c>
      <c r="BA8" s="65">
        <f t="shared" si="25"/>
        <v>0</v>
      </c>
      <c r="BB8" s="66">
        <f t="shared" si="26"/>
        <v>0</v>
      </c>
      <c r="BC8" s="67"/>
      <c r="BD8" s="68">
        <f t="shared" si="27"/>
        <v>0</v>
      </c>
      <c r="BE8" s="64">
        <f>_xlfn.XLOOKUP($C8,Tb_DISTR.FIN[Nº  SS],Tb_DISTR.FIN[MAI.26],"0%",0,1)</f>
        <v>0</v>
      </c>
      <c r="BF8" s="51">
        <f t="shared" si="53"/>
        <v>0</v>
      </c>
      <c r="BG8" s="65">
        <f t="shared" si="29"/>
        <v>0</v>
      </c>
      <c r="BH8" s="66">
        <f t="shared" si="30"/>
        <v>0</v>
      </c>
      <c r="BI8" s="67"/>
      <c r="BJ8" s="68">
        <f t="shared" si="31"/>
        <v>0</v>
      </c>
      <c r="BK8" s="64">
        <f>_xlfn.XLOOKUP($C8,Tb_DISTR.FIN[Nº  SS],Tb_DISTR.FIN[JUN.26],"0%",0,1)</f>
        <v>0</v>
      </c>
      <c r="BL8" s="51">
        <f t="shared" si="54"/>
        <v>0</v>
      </c>
      <c r="BM8" s="65">
        <f t="shared" si="33"/>
        <v>0</v>
      </c>
      <c r="BN8" s="66">
        <f t="shared" si="34"/>
        <v>0</v>
      </c>
      <c r="BO8" s="67"/>
      <c r="BP8" s="68">
        <f t="shared" si="35"/>
        <v>0</v>
      </c>
      <c r="BQ8" s="64">
        <f>_xlfn.XLOOKUP($C8,Tb_DISTR.FIN[Nº  SS],Tb_DISTR.FIN[JUL.26],"0%",0,1)</f>
        <v>0</v>
      </c>
      <c r="BR8" s="51">
        <f t="shared" si="55"/>
        <v>0</v>
      </c>
      <c r="BS8" s="65">
        <f t="shared" si="37"/>
        <v>0</v>
      </c>
      <c r="BT8" s="66">
        <f t="shared" si="38"/>
        <v>0</v>
      </c>
      <c r="BU8" s="67"/>
      <c r="BV8" s="68">
        <f t="shared" si="39"/>
        <v>0</v>
      </c>
      <c r="BW8" s="64">
        <f>_xlfn.XLOOKUP($C8,Tb_DISTR.FIN[Nº  SS],Tb_DISTR.FIN[AGO.26],"0%",0,1)</f>
        <v>0</v>
      </c>
      <c r="BX8" s="51">
        <f t="shared" si="56"/>
        <v>0</v>
      </c>
      <c r="BY8" s="65">
        <f t="shared" si="41"/>
        <v>0</v>
      </c>
      <c r="BZ8" s="66">
        <f t="shared" si="42"/>
        <v>0</v>
      </c>
      <c r="CA8" s="67"/>
      <c r="CB8" s="68">
        <f t="shared" si="43"/>
        <v>0</v>
      </c>
    </row>
    <row r="9" spans="1:144" s="42" customFormat="1" ht="24" customHeight="1" x14ac:dyDescent="0.2">
      <c r="A9" s="220" t="s">
        <v>124</v>
      </c>
      <c r="B9" s="221" t="s">
        <v>291</v>
      </c>
      <c r="C9" s="222" t="s">
        <v>219</v>
      </c>
      <c r="D9" s="223" t="s">
        <v>292</v>
      </c>
      <c r="E9" s="224">
        <v>117731.54</v>
      </c>
      <c r="F9" s="224">
        <f t="shared" si="0"/>
        <v>-3.637978807091713E-12</v>
      </c>
      <c r="G9" s="225">
        <f>IFERROR(((J9+P9+X9+AB9+AH9+AN9+AT9+AZ9+BF9+BL9+BR9+BX9)/E9),0)-15%</f>
        <v>1.0000000000000002</v>
      </c>
      <c r="H9" s="226">
        <f t="shared" si="2"/>
        <v>1</v>
      </c>
      <c r="I9" s="64">
        <f>_xlfn.XLOOKUP($C9,Tb_DISTR.FIN[Nº  SS],Tb_DISTR.FIN[SET.25],"0%",0,1)</f>
        <v>0</v>
      </c>
      <c r="J9" s="51">
        <f t="shared" ref="J9" si="58">$E9*I9</f>
        <v>0</v>
      </c>
      <c r="K9" s="65"/>
      <c r="L9" s="66">
        <f t="shared" ref="L9" si="59">$E9*K9</f>
        <v>0</v>
      </c>
      <c r="M9" s="67"/>
      <c r="N9" s="227">
        <f t="shared" ref="N9" si="60">$E9*M9</f>
        <v>0</v>
      </c>
      <c r="O9" s="64">
        <f>_xlfn.XLOOKUP($C9,Tb_DISTR.FIN[Nº  SS],Tb_DISTR.FIN[OUT.25],"0%",0,1)</f>
        <v>0</v>
      </c>
      <c r="P9" s="51">
        <f t="shared" ref="P9" si="61">$E9*O9</f>
        <v>0</v>
      </c>
      <c r="Q9" s="65"/>
      <c r="R9" s="66">
        <f t="shared" ref="R9" si="62">$E9*Q9</f>
        <v>0</v>
      </c>
      <c r="S9" s="67"/>
      <c r="T9" s="227">
        <f t="shared" ref="T9" si="63">$E9*S9</f>
        <v>0</v>
      </c>
      <c r="U9" s="64">
        <v>0.1</v>
      </c>
      <c r="V9" s="51">
        <f t="shared" ref="V9" si="64">$E9*U9</f>
        <v>11773.154</v>
      </c>
      <c r="W9" s="65">
        <v>0.1</v>
      </c>
      <c r="X9" s="66">
        <f t="shared" ref="X9" si="65">$E9*W9</f>
        <v>11773.154</v>
      </c>
      <c r="Y9" s="67">
        <v>0.1</v>
      </c>
      <c r="Z9" s="227">
        <f t="shared" ref="Z9" si="66">$E9*Y9</f>
        <v>11773.154</v>
      </c>
      <c r="AA9" s="64">
        <v>0.8</v>
      </c>
      <c r="AB9" s="51">
        <f t="shared" ref="AB9" si="67">$E9*AA9</f>
        <v>94185.232000000004</v>
      </c>
      <c r="AC9" s="65">
        <f>_xlfn.XLOOKUP($C9,Tb_DISTR.FIN[Nº  SS],Tb_DISTR.FIN[DEZ.25],"0%",0,1)</f>
        <v>0.65</v>
      </c>
      <c r="AD9" s="66">
        <f t="shared" ref="AD9" si="68">$E9*AC9</f>
        <v>76525.501000000004</v>
      </c>
      <c r="AE9" s="67">
        <v>0.65</v>
      </c>
      <c r="AF9" s="227">
        <f t="shared" ref="AF9" si="69">$E9*AE9</f>
        <v>76525.501000000004</v>
      </c>
      <c r="AG9" s="64">
        <v>0.25</v>
      </c>
      <c r="AH9" s="51">
        <f t="shared" ref="AH9" si="70">$E9*AG9</f>
        <v>29432.884999999998</v>
      </c>
      <c r="AI9" s="65">
        <v>0.25</v>
      </c>
      <c r="AJ9" s="66">
        <f t="shared" ref="AJ9" si="71">$E9*AI9</f>
        <v>29432.884999999998</v>
      </c>
      <c r="AK9" s="67">
        <f>_xlfn.XLOOKUP($C9,Tb_DISTR.FIN[Nº  SS],Tb_DISTR.FIN[JAN.26],"0%",0,1)</f>
        <v>0.25</v>
      </c>
      <c r="AL9" s="227">
        <f t="shared" si="15"/>
        <v>29432.884999999998</v>
      </c>
      <c r="AM9" s="64">
        <v>0</v>
      </c>
      <c r="AN9" s="51">
        <f t="shared" ref="AN9" si="72">$E9*AM9</f>
        <v>0</v>
      </c>
      <c r="AO9" s="65">
        <f t="shared" ref="AO9" si="73">AM9</f>
        <v>0</v>
      </c>
      <c r="AP9" s="66">
        <f t="shared" ref="AP9" si="74">$E9*AO9</f>
        <v>0</v>
      </c>
      <c r="AQ9" s="67"/>
      <c r="AR9" s="227">
        <f t="shared" ref="AR9" si="75">$E9*AQ9</f>
        <v>0</v>
      </c>
      <c r="AS9" s="64">
        <f>_xlfn.XLOOKUP($C9,Tb_DISTR.FIN[Nº  SS],Tb_DISTR.FIN[MAR.26],"0%",0,1)</f>
        <v>0</v>
      </c>
      <c r="AT9" s="51">
        <f t="shared" ref="AT9" si="76">$E9*AS9</f>
        <v>0</v>
      </c>
      <c r="AU9" s="65">
        <f t="shared" ref="AU9" si="77">AS9</f>
        <v>0</v>
      </c>
      <c r="AV9" s="66">
        <f t="shared" ref="AV9" si="78">$E9*AU9</f>
        <v>0</v>
      </c>
      <c r="AW9" s="67"/>
      <c r="AX9" s="227">
        <f t="shared" ref="AX9" si="79">$E9*AW9</f>
        <v>0</v>
      </c>
      <c r="AY9" s="64">
        <f>_xlfn.XLOOKUP($C9,Tb_DISTR.FIN[Nº  SS],Tb_DISTR.FIN[ABR.26],"0%",0,1)</f>
        <v>0</v>
      </c>
      <c r="AZ9" s="51">
        <f t="shared" ref="AZ9" si="80">$E9*AY9</f>
        <v>0</v>
      </c>
      <c r="BA9" s="65">
        <f t="shared" ref="BA9" si="81">AY9</f>
        <v>0</v>
      </c>
      <c r="BB9" s="66">
        <f t="shared" ref="BB9" si="82">$E9*BA9</f>
        <v>0</v>
      </c>
      <c r="BC9" s="67"/>
      <c r="BD9" s="227">
        <f t="shared" ref="BD9" si="83">$E9*BC9</f>
        <v>0</v>
      </c>
      <c r="BE9" s="64">
        <f>_xlfn.XLOOKUP($C9,Tb_DISTR.FIN[Nº  SS],Tb_DISTR.FIN[MAI.26],"0%",0,1)</f>
        <v>0</v>
      </c>
      <c r="BF9" s="51">
        <f t="shared" ref="BF9" si="84">$E9*BE9</f>
        <v>0</v>
      </c>
      <c r="BG9" s="65">
        <f t="shared" ref="BG9" si="85">BE9</f>
        <v>0</v>
      </c>
      <c r="BH9" s="66">
        <f t="shared" ref="BH9" si="86">$E9*BG9</f>
        <v>0</v>
      </c>
      <c r="BI9" s="67"/>
      <c r="BJ9" s="227">
        <f t="shared" ref="BJ9" si="87">$E9*BI9</f>
        <v>0</v>
      </c>
      <c r="BK9" s="64">
        <f>_xlfn.XLOOKUP($C9,Tb_DISTR.FIN[Nº  SS],Tb_DISTR.FIN[JUN.26],"0%",0,1)</f>
        <v>0</v>
      </c>
      <c r="BL9" s="51">
        <f t="shared" ref="BL9" si="88">$E9*BK9</f>
        <v>0</v>
      </c>
      <c r="BM9" s="65">
        <f t="shared" ref="BM9" si="89">BK9</f>
        <v>0</v>
      </c>
      <c r="BN9" s="66">
        <f t="shared" ref="BN9" si="90">$E9*BM9</f>
        <v>0</v>
      </c>
      <c r="BO9" s="67"/>
      <c r="BP9" s="227">
        <f t="shared" ref="BP9" si="91">$E9*BO9</f>
        <v>0</v>
      </c>
      <c r="BQ9" s="64">
        <f>_xlfn.XLOOKUP($C9,Tb_DISTR.FIN[Nº  SS],Tb_DISTR.FIN[JUL.26],"0%",0,1)</f>
        <v>0</v>
      </c>
      <c r="BR9" s="51">
        <f t="shared" ref="BR9" si="92">$E9*BQ9</f>
        <v>0</v>
      </c>
      <c r="BS9" s="65">
        <f t="shared" ref="BS9" si="93">BQ9</f>
        <v>0</v>
      </c>
      <c r="BT9" s="66">
        <f t="shared" ref="BT9" si="94">$E9*BS9</f>
        <v>0</v>
      </c>
      <c r="BU9" s="67"/>
      <c r="BV9" s="227">
        <f t="shared" ref="BV9" si="95">$E9*BU9</f>
        <v>0</v>
      </c>
      <c r="BW9" s="64">
        <f>_xlfn.XLOOKUP($C9,Tb_DISTR.FIN[Nº  SS],Tb_DISTR.FIN[AGO.26],"0%",0,1)</f>
        <v>0</v>
      </c>
      <c r="BX9" s="51">
        <f t="shared" ref="BX9" si="96">$E9*BW9</f>
        <v>0</v>
      </c>
      <c r="BY9" s="65">
        <f t="shared" ref="BY9" si="97">BW9</f>
        <v>0</v>
      </c>
      <c r="BZ9" s="66">
        <f t="shared" ref="BZ9" si="98">$E9*BY9</f>
        <v>0</v>
      </c>
      <c r="CA9" s="67"/>
      <c r="CB9" s="227">
        <f t="shared" ref="CB9" si="99">$E9*CA9</f>
        <v>0</v>
      </c>
    </row>
    <row r="10" spans="1:144" s="42" customFormat="1" ht="24" customHeight="1" x14ac:dyDescent="0.2">
      <c r="A10" s="281" t="s">
        <v>124</v>
      </c>
      <c r="B10" s="281" t="s">
        <v>136</v>
      </c>
      <c r="C10" s="282" t="s">
        <v>195</v>
      </c>
      <c r="D10" s="283" t="s">
        <v>194</v>
      </c>
      <c r="E10" s="284">
        <v>403913.19</v>
      </c>
      <c r="F10" s="284">
        <f t="shared" si="0"/>
        <v>150747.70405750003</v>
      </c>
      <c r="G10" s="285">
        <f>IFERROR(((J10+P10+X10+AD10+AH10+AN10+AT10+AZ10+BF10+BL10+BR10+BX10)/E10),0)</f>
        <v>0.80425000000000002</v>
      </c>
      <c r="H10" s="286">
        <f t="shared" si="2"/>
        <v>0.62678192297334967</v>
      </c>
      <c r="I10" s="228">
        <f>_xlfn.XLOOKUP($C10,Tb_DISTR.FIN[Nº  SS],Tb_DISTR.FIN[SET.25],"0%",0,1)</f>
        <v>0</v>
      </c>
      <c r="J10" s="229">
        <f t="shared" si="44"/>
        <v>0</v>
      </c>
      <c r="K10" s="230"/>
      <c r="L10" s="231">
        <f t="shared" si="4"/>
        <v>0</v>
      </c>
      <c r="M10" s="232"/>
      <c r="N10" s="233">
        <f t="shared" si="5"/>
        <v>0</v>
      </c>
      <c r="O10" s="228">
        <f>_xlfn.XLOOKUP($C10,Tb_DISTR.FIN[Nº  SS],Tb_DISTR.FIN[OUT.25],"0%",0,1)</f>
        <v>0</v>
      </c>
      <c r="P10" s="229">
        <f t="shared" si="45"/>
        <v>0</v>
      </c>
      <c r="Q10" s="230"/>
      <c r="R10" s="231">
        <f t="shared" si="7"/>
        <v>0</v>
      </c>
      <c r="S10" s="232"/>
      <c r="T10" s="233">
        <f t="shared" si="8"/>
        <v>0</v>
      </c>
      <c r="U10" s="228">
        <v>6.1302207041072365E-2</v>
      </c>
      <c r="V10" s="229">
        <f t="shared" si="47"/>
        <v>24760.77</v>
      </c>
      <c r="W10" s="230">
        <v>6.1302207041072365E-2</v>
      </c>
      <c r="X10" s="231">
        <f t="shared" si="48"/>
        <v>24760.77</v>
      </c>
      <c r="Y10" s="232">
        <v>6.1302207041072365E-2</v>
      </c>
      <c r="Z10" s="233">
        <f t="shared" si="9"/>
        <v>24760.77</v>
      </c>
      <c r="AA10" s="228">
        <v>0</v>
      </c>
      <c r="AB10" s="229">
        <f t="shared" si="49"/>
        <v>0</v>
      </c>
      <c r="AC10" s="230">
        <v>0.12260441408214473</v>
      </c>
      <c r="AD10" s="231">
        <f t="shared" si="11"/>
        <v>49521.54</v>
      </c>
      <c r="AE10" s="232">
        <v>0.12260441408214473</v>
      </c>
      <c r="AF10" s="233">
        <f t="shared" si="12"/>
        <v>49521.54</v>
      </c>
      <c r="AG10" s="228">
        <v>0.1471253018501327</v>
      </c>
      <c r="AH10" s="229">
        <f t="shared" si="50"/>
        <v>59425.85</v>
      </c>
      <c r="AI10" s="230">
        <v>0.1471253018501327</v>
      </c>
      <c r="AJ10" s="231">
        <f t="shared" si="14"/>
        <v>59425.85</v>
      </c>
      <c r="AK10" s="232">
        <v>0.1471253018501327</v>
      </c>
      <c r="AL10" s="233">
        <f t="shared" si="15"/>
        <v>59425.85</v>
      </c>
      <c r="AM10" s="228">
        <v>0.1</v>
      </c>
      <c r="AN10" s="229">
        <f t="shared" si="57"/>
        <v>40391.319000000003</v>
      </c>
      <c r="AO10" s="230">
        <f>AM10</f>
        <v>0.1</v>
      </c>
      <c r="AP10" s="231">
        <f t="shared" si="18"/>
        <v>40391.319000000003</v>
      </c>
      <c r="AQ10" s="67">
        <v>0.29575000000000001</v>
      </c>
      <c r="AR10" s="227">
        <f t="shared" si="19"/>
        <v>119457.3259425</v>
      </c>
      <c r="AS10" s="228">
        <f>_xlfn.XLOOKUP($C10,Tb_DISTR.FIN[Nº  SS],Tb_DISTR.FIN[MAR.26],"0%",0,1)</f>
        <v>0.15712000000000001</v>
      </c>
      <c r="AT10" s="229">
        <f t="shared" si="51"/>
        <v>63462.840412800004</v>
      </c>
      <c r="AU10" s="230">
        <f t="shared" si="21"/>
        <v>0.15712000000000001</v>
      </c>
      <c r="AV10" s="231">
        <f t="shared" si="22"/>
        <v>63462.840412800004</v>
      </c>
      <c r="AW10" s="232"/>
      <c r="AX10" s="233">
        <f t="shared" si="23"/>
        <v>0</v>
      </c>
      <c r="AY10" s="228">
        <f>_xlfn.XLOOKUP($C10,Tb_DISTR.FIN[Nº  SS],Tb_DISTR.FIN[ABR.26],"0%",0,1)</f>
        <v>0.21609807702665024</v>
      </c>
      <c r="AZ10" s="229">
        <f t="shared" si="52"/>
        <v>87284.863644700017</v>
      </c>
      <c r="BA10" s="230">
        <f t="shared" si="25"/>
        <v>0.21609807702665024</v>
      </c>
      <c r="BB10" s="231">
        <f t="shared" si="26"/>
        <v>87284.863644700017</v>
      </c>
      <c r="BC10" s="232"/>
      <c r="BD10" s="233">
        <f t="shared" si="27"/>
        <v>0</v>
      </c>
      <c r="BE10" s="228">
        <f>_xlfn.XLOOKUP($C10,Tb_DISTR.FIN[Nº  SS],Tb_DISTR.FIN[MAI.26],"0%",0,1)</f>
        <v>0</v>
      </c>
      <c r="BF10" s="229">
        <f t="shared" si="53"/>
        <v>0</v>
      </c>
      <c r="BG10" s="230">
        <f t="shared" si="29"/>
        <v>0</v>
      </c>
      <c r="BH10" s="231">
        <f t="shared" si="30"/>
        <v>0</v>
      </c>
      <c r="BI10" s="232"/>
      <c r="BJ10" s="233">
        <f t="shared" si="31"/>
        <v>0</v>
      </c>
      <c r="BK10" s="228">
        <f>_xlfn.XLOOKUP($C10,Tb_DISTR.FIN[Nº  SS],Tb_DISTR.FIN[JUN.26],"0%",0,1)</f>
        <v>0</v>
      </c>
      <c r="BL10" s="229">
        <f t="shared" si="54"/>
        <v>0</v>
      </c>
      <c r="BM10" s="230">
        <f t="shared" si="33"/>
        <v>0</v>
      </c>
      <c r="BN10" s="231">
        <f t="shared" si="34"/>
        <v>0</v>
      </c>
      <c r="BO10" s="232"/>
      <c r="BP10" s="233">
        <f t="shared" si="35"/>
        <v>0</v>
      </c>
      <c r="BQ10" s="228">
        <f>_xlfn.XLOOKUP($C10,Tb_DISTR.FIN[Nº  SS],Tb_DISTR.FIN[JUL.26],"0%",0,1)</f>
        <v>0</v>
      </c>
      <c r="BR10" s="229">
        <f t="shared" si="55"/>
        <v>0</v>
      </c>
      <c r="BS10" s="230">
        <f t="shared" si="37"/>
        <v>0</v>
      </c>
      <c r="BT10" s="231">
        <f t="shared" si="38"/>
        <v>0</v>
      </c>
      <c r="BU10" s="232"/>
      <c r="BV10" s="233">
        <f t="shared" si="39"/>
        <v>0</v>
      </c>
      <c r="BW10" s="228">
        <f>_xlfn.XLOOKUP($C10,Tb_DISTR.FIN[Nº  SS],Tb_DISTR.FIN[AGO.26],"0%",0,1)</f>
        <v>0</v>
      </c>
      <c r="BX10" s="229">
        <f t="shared" si="56"/>
        <v>0</v>
      </c>
      <c r="BY10" s="230">
        <f t="shared" si="41"/>
        <v>0</v>
      </c>
      <c r="BZ10" s="231">
        <f t="shared" si="42"/>
        <v>0</v>
      </c>
      <c r="CA10" s="232"/>
      <c r="CB10" s="233">
        <f t="shared" si="43"/>
        <v>0</v>
      </c>
    </row>
    <row r="11" spans="1:144" s="42" customFormat="1" ht="24" customHeight="1" x14ac:dyDescent="0.2">
      <c r="A11" s="220" t="s">
        <v>124</v>
      </c>
      <c r="B11" s="221" t="s">
        <v>365</v>
      </c>
      <c r="C11" s="222" t="s">
        <v>308</v>
      </c>
      <c r="D11" s="223" t="s">
        <v>364</v>
      </c>
      <c r="E11" s="224">
        <v>41370.68</v>
      </c>
      <c r="F11" s="224">
        <f t="shared" ref="F11:F12" si="100">IFERROR(E11-N11-T11-Z11-AF11-AL11-AR11-AX11-BD11-BJ11-BP11-BV11-CB11,0)</f>
        <v>37233.612000000001</v>
      </c>
      <c r="G11" s="225">
        <f>IFERROR(((J11+P11+X11+AB11+AH11+AN11+AT11+AZ11+BF11+BL11+BR11+BX11)/E11),0)</f>
        <v>1.0000000000000002</v>
      </c>
      <c r="H11" s="226">
        <f t="shared" ref="H11:H12" si="101">IFERROR(((E11-F11)/E11),0)</f>
        <v>9.9999999999999978E-2</v>
      </c>
      <c r="I11" s="64">
        <f>_xlfn.XLOOKUP($C11,Tb_DISTR.FIN[Nº  SS],Tb_DISTR.FIN[SET.25],"0%",0,1)</f>
        <v>0</v>
      </c>
      <c r="J11" s="51">
        <f t="shared" si="44"/>
        <v>0</v>
      </c>
      <c r="K11" s="65"/>
      <c r="L11" s="66">
        <f t="shared" si="4"/>
        <v>0</v>
      </c>
      <c r="M11" s="67"/>
      <c r="N11" s="227">
        <f t="shared" si="5"/>
        <v>0</v>
      </c>
      <c r="O11" s="64">
        <f>_xlfn.XLOOKUP($C11,Tb_DISTR.FIN[Nº  SS],Tb_DISTR.FIN[OUT.25],"0%",0,1)</f>
        <v>0</v>
      </c>
      <c r="P11" s="51">
        <f t="shared" si="45"/>
        <v>0</v>
      </c>
      <c r="Q11" s="65"/>
      <c r="R11" s="66">
        <f t="shared" si="7"/>
        <v>0</v>
      </c>
      <c r="S11" s="67"/>
      <c r="T11" s="227">
        <f t="shared" si="8"/>
        <v>0</v>
      </c>
      <c r="U11" s="64">
        <v>0</v>
      </c>
      <c r="V11" s="51">
        <v>0</v>
      </c>
      <c r="W11" s="65"/>
      <c r="X11" s="66">
        <v>0</v>
      </c>
      <c r="Y11" s="67"/>
      <c r="Z11" s="227">
        <v>0</v>
      </c>
      <c r="AA11" s="64">
        <v>0</v>
      </c>
      <c r="AB11" s="51">
        <v>0</v>
      </c>
      <c r="AC11" s="65"/>
      <c r="AD11" s="66">
        <v>0</v>
      </c>
      <c r="AE11" s="67"/>
      <c r="AF11" s="227">
        <v>0</v>
      </c>
      <c r="AG11" s="64">
        <v>0</v>
      </c>
      <c r="AH11" s="51">
        <v>0</v>
      </c>
      <c r="AI11" s="65"/>
      <c r="AJ11" s="66">
        <v>0</v>
      </c>
      <c r="AK11" s="67"/>
      <c r="AL11" s="227">
        <v>0</v>
      </c>
      <c r="AM11" s="64">
        <v>0.1</v>
      </c>
      <c r="AN11" s="51">
        <f t="shared" si="57"/>
        <v>4137.0680000000002</v>
      </c>
      <c r="AO11" s="65">
        <f>AM11</f>
        <v>0.1</v>
      </c>
      <c r="AP11" s="66">
        <f t="shared" si="18"/>
        <v>4137.0680000000002</v>
      </c>
      <c r="AQ11" s="67">
        <v>0.1</v>
      </c>
      <c r="AR11" s="227">
        <f t="shared" si="19"/>
        <v>4137.0680000000002</v>
      </c>
      <c r="AS11" s="64">
        <f>_xlfn.XLOOKUP($C11,Tb_DISTR.FIN[Nº  SS],Tb_DISTR.FIN[MAR.26],"0%",0,1)</f>
        <v>0.35</v>
      </c>
      <c r="AT11" s="51">
        <f t="shared" si="51"/>
        <v>14479.737999999999</v>
      </c>
      <c r="AU11" s="65">
        <f t="shared" si="21"/>
        <v>0.35</v>
      </c>
      <c r="AV11" s="66">
        <f t="shared" si="22"/>
        <v>14479.737999999999</v>
      </c>
      <c r="AW11" s="67"/>
      <c r="AX11" s="227">
        <f t="shared" si="23"/>
        <v>0</v>
      </c>
      <c r="AY11" s="64">
        <f>_xlfn.XLOOKUP($C11,Tb_DISTR.FIN[Nº  SS],Tb_DISTR.FIN[ABR.26],"0%",0,1)</f>
        <v>0.55000000000000004</v>
      </c>
      <c r="AZ11" s="51">
        <f t="shared" si="52"/>
        <v>22753.874000000003</v>
      </c>
      <c r="BA11" s="65">
        <f t="shared" si="25"/>
        <v>0.55000000000000004</v>
      </c>
      <c r="BB11" s="66">
        <f t="shared" si="26"/>
        <v>22753.874000000003</v>
      </c>
      <c r="BC11" s="67"/>
      <c r="BD11" s="227">
        <f t="shared" si="27"/>
        <v>0</v>
      </c>
      <c r="BE11" s="64">
        <f>_xlfn.XLOOKUP($C11,Tb_DISTR.FIN[Nº  SS],Tb_DISTR.FIN[MAI.26],"0%",0,1)</f>
        <v>0</v>
      </c>
      <c r="BF11" s="51">
        <f t="shared" si="53"/>
        <v>0</v>
      </c>
      <c r="BG11" s="65">
        <f t="shared" si="29"/>
        <v>0</v>
      </c>
      <c r="BH11" s="66">
        <f t="shared" si="30"/>
        <v>0</v>
      </c>
      <c r="BI11" s="67"/>
      <c r="BJ11" s="227">
        <f t="shared" si="31"/>
        <v>0</v>
      </c>
      <c r="BK11" s="64">
        <f>_xlfn.XLOOKUP($C11,Tb_DISTR.FIN[Nº  SS],Tb_DISTR.FIN[JUN.26],"0%",0,1)</f>
        <v>0</v>
      </c>
      <c r="BL11" s="51">
        <f t="shared" si="54"/>
        <v>0</v>
      </c>
      <c r="BM11" s="65">
        <f t="shared" si="33"/>
        <v>0</v>
      </c>
      <c r="BN11" s="66">
        <f t="shared" si="34"/>
        <v>0</v>
      </c>
      <c r="BO11" s="67"/>
      <c r="BP11" s="227">
        <f t="shared" si="35"/>
        <v>0</v>
      </c>
      <c r="BQ11" s="64">
        <f>_xlfn.XLOOKUP($C11,Tb_DISTR.FIN[Nº  SS],Tb_DISTR.FIN[JUL.26],"0%",0,1)</f>
        <v>0</v>
      </c>
      <c r="BR11" s="51">
        <f t="shared" si="55"/>
        <v>0</v>
      </c>
      <c r="BS11" s="65">
        <f t="shared" si="37"/>
        <v>0</v>
      </c>
      <c r="BT11" s="66">
        <f t="shared" si="38"/>
        <v>0</v>
      </c>
      <c r="BU11" s="67"/>
      <c r="BV11" s="227">
        <f t="shared" si="39"/>
        <v>0</v>
      </c>
      <c r="BW11" s="64">
        <f>_xlfn.XLOOKUP($C11,Tb_DISTR.FIN[Nº  SS],Tb_DISTR.FIN[AGO.26],"0%",0,1)</f>
        <v>0</v>
      </c>
      <c r="BX11" s="51">
        <f t="shared" si="56"/>
        <v>0</v>
      </c>
      <c r="BY11" s="65">
        <f t="shared" si="41"/>
        <v>0</v>
      </c>
      <c r="BZ11" s="66">
        <f t="shared" si="42"/>
        <v>0</v>
      </c>
      <c r="CA11" s="67"/>
      <c r="CB11" s="227">
        <f t="shared" si="43"/>
        <v>0</v>
      </c>
    </row>
    <row r="12" spans="1:144" s="42" customFormat="1" ht="24" customHeight="1" x14ac:dyDescent="0.2">
      <c r="A12" s="220" t="s">
        <v>124</v>
      </c>
      <c r="B12" s="221" t="s">
        <v>367</v>
      </c>
      <c r="C12" s="222" t="s">
        <v>345</v>
      </c>
      <c r="D12" s="223" t="s">
        <v>366</v>
      </c>
      <c r="E12" s="224">
        <v>1114645.1777999999</v>
      </c>
      <c r="F12" s="224">
        <f t="shared" si="100"/>
        <v>1003180.66002</v>
      </c>
      <c r="G12" s="225">
        <f>IFERROR(((J12+P12+X12+AB12+AH12+AN12+AT12+AZ12+BF12+BL12+BR12+BX12)/E12),0)</f>
        <v>0.7400000000000001</v>
      </c>
      <c r="H12" s="226">
        <f t="shared" si="101"/>
        <v>0.1</v>
      </c>
      <c r="I12" s="64">
        <f>_xlfn.XLOOKUP($C12,Tb_DISTR.FIN[Nº  SS],Tb_DISTR.FIN[SET.25],"0%",0,1)</f>
        <v>0</v>
      </c>
      <c r="J12" s="51">
        <f t="shared" si="44"/>
        <v>0</v>
      </c>
      <c r="K12" s="65"/>
      <c r="L12" s="66">
        <f t="shared" si="4"/>
        <v>0</v>
      </c>
      <c r="M12" s="67"/>
      <c r="N12" s="227">
        <f t="shared" si="5"/>
        <v>0</v>
      </c>
      <c r="O12" s="64">
        <f>_xlfn.XLOOKUP($C12,Tb_DISTR.FIN[Nº  SS],Tb_DISTR.FIN[OUT.25],"0%",0,1)</f>
        <v>0</v>
      </c>
      <c r="P12" s="51">
        <f t="shared" si="45"/>
        <v>0</v>
      </c>
      <c r="Q12" s="65"/>
      <c r="R12" s="66">
        <f t="shared" si="7"/>
        <v>0</v>
      </c>
      <c r="S12" s="67"/>
      <c r="T12" s="227">
        <f t="shared" si="8"/>
        <v>0</v>
      </c>
      <c r="U12" s="64">
        <v>0</v>
      </c>
      <c r="V12" s="51">
        <v>0</v>
      </c>
      <c r="W12" s="65"/>
      <c r="X12" s="66">
        <v>0</v>
      </c>
      <c r="Y12" s="67"/>
      <c r="Z12" s="227">
        <v>0</v>
      </c>
      <c r="AA12" s="64">
        <v>0</v>
      </c>
      <c r="AB12" s="51">
        <v>0</v>
      </c>
      <c r="AC12" s="65"/>
      <c r="AD12" s="66">
        <v>0</v>
      </c>
      <c r="AE12" s="67"/>
      <c r="AF12" s="227">
        <v>0</v>
      </c>
      <c r="AG12" s="64">
        <v>0</v>
      </c>
      <c r="AH12" s="51">
        <v>0</v>
      </c>
      <c r="AI12" s="65"/>
      <c r="AJ12" s="66">
        <v>0</v>
      </c>
      <c r="AK12" s="67"/>
      <c r="AL12" s="227">
        <v>0</v>
      </c>
      <c r="AM12" s="64">
        <v>0.1</v>
      </c>
      <c r="AN12" s="51">
        <f t="shared" si="57"/>
        <v>111464.51777999999</v>
      </c>
      <c r="AO12" s="65">
        <f>AM12</f>
        <v>0.1</v>
      </c>
      <c r="AP12" s="66">
        <f t="shared" si="18"/>
        <v>111464.51777999999</v>
      </c>
      <c r="AQ12" s="67">
        <v>0.1</v>
      </c>
      <c r="AR12" s="227">
        <f t="shared" si="19"/>
        <v>111464.51777999999</v>
      </c>
      <c r="AS12" s="64">
        <f>_xlfn.XLOOKUP($C12,Tb_DISTR.FIN[Nº  SS],Tb_DISTR.FIN[MAR.26],"0%",0,1)</f>
        <v>0.2</v>
      </c>
      <c r="AT12" s="51">
        <f t="shared" si="51"/>
        <v>222929.03555999999</v>
      </c>
      <c r="AU12" s="65">
        <f t="shared" si="21"/>
        <v>0.2</v>
      </c>
      <c r="AV12" s="66">
        <f t="shared" si="22"/>
        <v>222929.03555999999</v>
      </c>
      <c r="AW12" s="67"/>
      <c r="AX12" s="227">
        <f t="shared" si="23"/>
        <v>0</v>
      </c>
      <c r="AY12" s="64">
        <f>_xlfn.XLOOKUP($C12,Tb_DISTR.FIN[Nº  SS],Tb_DISTR.FIN[ABR.26],"0%",0,1)</f>
        <v>0.08</v>
      </c>
      <c r="AZ12" s="51">
        <f t="shared" si="52"/>
        <v>89171.614224000004</v>
      </c>
      <c r="BA12" s="65">
        <f t="shared" si="25"/>
        <v>0.08</v>
      </c>
      <c r="BB12" s="66">
        <f t="shared" si="26"/>
        <v>89171.614224000004</v>
      </c>
      <c r="BC12" s="67"/>
      <c r="BD12" s="227">
        <f t="shared" si="27"/>
        <v>0</v>
      </c>
      <c r="BE12" s="64">
        <f>_xlfn.XLOOKUP($C12,Tb_DISTR.FIN[Nº  SS],Tb_DISTR.FIN[MAI.26],"0%",0,1)</f>
        <v>0.09</v>
      </c>
      <c r="BF12" s="51">
        <f t="shared" si="53"/>
        <v>100318.06600199999</v>
      </c>
      <c r="BG12" s="65">
        <f t="shared" si="29"/>
        <v>0.09</v>
      </c>
      <c r="BH12" s="66">
        <f t="shared" si="30"/>
        <v>100318.06600199999</v>
      </c>
      <c r="BI12" s="67"/>
      <c r="BJ12" s="227">
        <f t="shared" si="31"/>
        <v>0</v>
      </c>
      <c r="BK12" s="64">
        <f>_xlfn.XLOOKUP($C12,Tb_DISTR.FIN[Nº  SS],Tb_DISTR.FIN[JUN.26],"0%",0,1)</f>
        <v>0.09</v>
      </c>
      <c r="BL12" s="51">
        <f t="shared" si="54"/>
        <v>100318.06600199999</v>
      </c>
      <c r="BM12" s="65">
        <f t="shared" si="33"/>
        <v>0.09</v>
      </c>
      <c r="BN12" s="66">
        <f t="shared" si="34"/>
        <v>100318.06600199999</v>
      </c>
      <c r="BO12" s="67"/>
      <c r="BP12" s="227">
        <f t="shared" si="35"/>
        <v>0</v>
      </c>
      <c r="BQ12" s="64">
        <f>_xlfn.XLOOKUP($C12,Tb_DISTR.FIN[Nº  SS],Tb_DISTR.FIN[JUL.26],"0%",0,1)</f>
        <v>0.09</v>
      </c>
      <c r="BR12" s="51">
        <f t="shared" si="55"/>
        <v>100318.06600199999</v>
      </c>
      <c r="BS12" s="65">
        <f t="shared" si="37"/>
        <v>0.09</v>
      </c>
      <c r="BT12" s="66">
        <f t="shared" si="38"/>
        <v>100318.06600199999</v>
      </c>
      <c r="BU12" s="67"/>
      <c r="BV12" s="227">
        <f t="shared" si="39"/>
        <v>0</v>
      </c>
      <c r="BW12" s="64">
        <f>_xlfn.XLOOKUP($C12,Tb_DISTR.FIN[Nº  SS],Tb_DISTR.FIN[AGO.26],"0%",0,1)</f>
        <v>0.09</v>
      </c>
      <c r="BX12" s="51">
        <f t="shared" si="56"/>
        <v>100318.06600199999</v>
      </c>
      <c r="BY12" s="65">
        <f t="shared" si="41"/>
        <v>0.09</v>
      </c>
      <c r="BZ12" s="66">
        <f t="shared" si="42"/>
        <v>100318.06600199999</v>
      </c>
      <c r="CA12" s="67"/>
      <c r="CB12" s="227">
        <f t="shared" si="43"/>
        <v>0</v>
      </c>
    </row>
    <row r="13" spans="1:144" s="42" customFormat="1" ht="6" customHeight="1" x14ac:dyDescent="0.2">
      <c r="A13" s="70"/>
      <c r="B13" s="71"/>
      <c r="C13" s="72"/>
      <c r="D13" s="73"/>
      <c r="E13" s="74"/>
      <c r="F13" s="74"/>
      <c r="G13" s="75"/>
      <c r="H13" s="75"/>
      <c r="I13" s="76"/>
      <c r="J13" s="77"/>
      <c r="K13" s="76"/>
      <c r="L13" s="77"/>
      <c r="M13" s="76"/>
      <c r="N13" s="78"/>
      <c r="O13" s="76"/>
      <c r="P13" s="77"/>
      <c r="Q13" s="76"/>
      <c r="R13" s="77"/>
      <c r="S13" s="76"/>
      <c r="T13" s="78"/>
      <c r="U13" s="76"/>
      <c r="V13" s="77"/>
      <c r="W13" s="76"/>
      <c r="X13" s="77"/>
      <c r="Y13" s="76"/>
      <c r="Z13" s="78"/>
      <c r="AA13" s="76"/>
      <c r="AB13" s="77"/>
      <c r="AC13" s="76"/>
      <c r="AD13" s="77"/>
      <c r="AE13" s="76"/>
      <c r="AF13" s="78"/>
      <c r="AG13" s="76"/>
      <c r="AH13" s="77"/>
      <c r="AI13" s="76"/>
      <c r="AJ13" s="77"/>
      <c r="AK13" s="76"/>
      <c r="AL13" s="78"/>
      <c r="AM13" s="76"/>
      <c r="AN13" s="77"/>
      <c r="AO13" s="76"/>
      <c r="AP13" s="77"/>
      <c r="AQ13" s="76"/>
      <c r="AR13" s="78"/>
      <c r="AS13" s="76"/>
      <c r="AT13" s="77"/>
      <c r="AU13" s="76"/>
      <c r="AV13" s="77"/>
      <c r="AW13" s="76"/>
      <c r="AX13" s="78"/>
      <c r="AY13" s="76"/>
      <c r="AZ13" s="77"/>
      <c r="BA13" s="76"/>
      <c r="BB13" s="77"/>
      <c r="BC13" s="76"/>
      <c r="BD13" s="78"/>
      <c r="BE13" s="76"/>
      <c r="BF13" s="77"/>
      <c r="BG13" s="76"/>
      <c r="BH13" s="77"/>
      <c r="BI13" s="76"/>
      <c r="BJ13" s="78"/>
      <c r="BK13" s="76"/>
      <c r="BL13" s="77"/>
      <c r="BM13" s="76"/>
      <c r="BN13" s="77"/>
      <c r="BO13" s="76"/>
      <c r="BP13" s="78"/>
      <c r="BQ13" s="76"/>
      <c r="BR13" s="77"/>
      <c r="BS13" s="76"/>
      <c r="BT13" s="77"/>
      <c r="BU13" s="76"/>
      <c r="BV13" s="78"/>
      <c r="BW13" s="76"/>
      <c r="BX13" s="77"/>
      <c r="BY13" s="76"/>
      <c r="BZ13" s="77"/>
      <c r="CA13" s="76"/>
      <c r="CB13" s="78"/>
    </row>
    <row r="14" spans="1:144" s="42" customFormat="1" ht="24" customHeight="1" x14ac:dyDescent="0.2">
      <c r="A14" s="79" t="s">
        <v>125</v>
      </c>
      <c r="B14" s="79" t="s">
        <v>134</v>
      </c>
      <c r="C14" s="80" t="s">
        <v>359</v>
      </c>
      <c r="D14" s="81" t="s">
        <v>185</v>
      </c>
      <c r="E14" s="82">
        <v>10320001.30782</v>
      </c>
      <c r="F14" s="82">
        <f t="shared" ref="F14:F28" si="102">IFERROR(E14-N14-T14-Z14-AF14-AL14-AR14-AX14-BD14-BJ14-BP14-BV14-CB14,0)</f>
        <v>6998769.536220002</v>
      </c>
      <c r="G14" s="83">
        <f t="shared" ref="G14:G28" si="103">IFERROR(((J14+P14+X14+AB14+AH14+AN14+AT14+AZ14+BF14+BL14+BR14+BX14)/E14),0)</f>
        <v>0.48611107405564102</v>
      </c>
      <c r="H14" s="84">
        <f t="shared" ref="H14:H28" si="104">IFERROR(((E14-F14)/E14),0)</f>
        <v>0.32182474328596533</v>
      </c>
      <c r="I14" s="64"/>
      <c r="J14" s="51">
        <f>600586.97+1307780.91</f>
        <v>1908367.88</v>
      </c>
      <c r="K14" s="65"/>
      <c r="L14" s="66">
        <f>J14</f>
        <v>1908367.88</v>
      </c>
      <c r="M14" s="67"/>
      <c r="N14" s="68">
        <v>1908368.5715999999</v>
      </c>
      <c r="O14" s="64"/>
      <c r="P14" s="51">
        <v>282572.64</v>
      </c>
      <c r="Q14" s="65" t="str">
        <f>_xlfn.XLOOKUP($C14,Tb_DISTR.FIN[Nº  SS],Tb_DISTR.FIN[OUT.25],"",0,1)</f>
        <v/>
      </c>
      <c r="R14" s="66">
        <v>282572.64</v>
      </c>
      <c r="S14" s="67" t="str">
        <f>_xlfn.XLOOKUP($C14,Tb_DISTR.FIN[Nº  SS],Tb_DISTR.FIN[OUT.25],"",0,1)</f>
        <v/>
      </c>
      <c r="T14" s="68">
        <v>282572.64</v>
      </c>
      <c r="U14" s="64"/>
      <c r="V14" s="51">
        <v>282572.64</v>
      </c>
      <c r="W14" s="65"/>
      <c r="X14" s="66">
        <v>282572.64</v>
      </c>
      <c r="Y14" s="67"/>
      <c r="Z14" s="68">
        <v>282572.64</v>
      </c>
      <c r="AA14" s="64"/>
      <c r="AB14" s="51">
        <v>282572.64</v>
      </c>
      <c r="AC14" s="65"/>
      <c r="AD14" s="66">
        <v>282572.64</v>
      </c>
      <c r="AE14" s="67"/>
      <c r="AF14" s="68">
        <v>282572.64</v>
      </c>
      <c r="AG14" s="64"/>
      <c r="AH14" s="51">
        <v>282572.64</v>
      </c>
      <c r="AI14" s="65"/>
      <c r="AJ14" s="66">
        <v>282572.64</v>
      </c>
      <c r="AK14" s="67"/>
      <c r="AL14" s="68">
        <v>282572.64</v>
      </c>
      <c r="AM14" s="64"/>
      <c r="AN14" s="51">
        <v>282572.64</v>
      </c>
      <c r="AO14" s="65"/>
      <c r="AP14" s="66">
        <v>282572.64</v>
      </c>
      <c r="AQ14" s="67"/>
      <c r="AR14" s="68">
        <v>282572.64</v>
      </c>
      <c r="AS14" s="64"/>
      <c r="AT14" s="51">
        <v>282572.64</v>
      </c>
      <c r="AU14" s="65"/>
      <c r="AV14" s="66">
        <v>282572.64</v>
      </c>
      <c r="AW14" s="67"/>
      <c r="AX14" s="68"/>
      <c r="AY14" s="64"/>
      <c r="AZ14" s="51">
        <v>282572.64</v>
      </c>
      <c r="BA14" s="65"/>
      <c r="BB14" s="66">
        <v>282572.64</v>
      </c>
      <c r="BC14" s="67"/>
      <c r="BD14" s="68"/>
      <c r="BE14" s="64"/>
      <c r="BF14" s="51">
        <v>282572.64</v>
      </c>
      <c r="BG14" s="65"/>
      <c r="BH14" s="66">
        <v>282572.64</v>
      </c>
      <c r="BI14" s="67"/>
      <c r="BJ14" s="68"/>
      <c r="BK14" s="64"/>
      <c r="BL14" s="51">
        <v>282572.64</v>
      </c>
      <c r="BM14" s="65"/>
      <c r="BN14" s="66">
        <v>282572.64</v>
      </c>
      <c r="BO14" s="67"/>
      <c r="BP14" s="68"/>
      <c r="BQ14" s="64"/>
      <c r="BR14" s="51">
        <v>282572.64</v>
      </c>
      <c r="BS14" s="65"/>
      <c r="BT14" s="66">
        <v>282572.64</v>
      </c>
      <c r="BU14" s="67"/>
      <c r="BV14" s="68"/>
      <c r="BW14" s="64"/>
      <c r="BX14" s="51">
        <v>282572.64</v>
      </c>
      <c r="BY14" s="65"/>
      <c r="BZ14" s="66">
        <v>282572.64</v>
      </c>
      <c r="CA14" s="67"/>
      <c r="CB14" s="68"/>
    </row>
    <row r="15" spans="1:144" s="42" customFormat="1" ht="24" customHeight="1" x14ac:dyDescent="0.2">
      <c r="A15" s="58" t="s">
        <v>125</v>
      </c>
      <c r="B15" s="58" t="s">
        <v>149</v>
      </c>
      <c r="C15" s="59" t="s">
        <v>338</v>
      </c>
      <c r="D15" s="60" t="s">
        <v>156</v>
      </c>
      <c r="E15" s="61">
        <v>9201249.3284999989</v>
      </c>
      <c r="F15" s="61">
        <f t="shared" si="102"/>
        <v>4278580.9377524992</v>
      </c>
      <c r="G15" s="62">
        <f t="shared" si="103"/>
        <v>1.0649999999999999</v>
      </c>
      <c r="H15" s="63">
        <f t="shared" si="104"/>
        <v>0.53500000000000003</v>
      </c>
      <c r="I15" s="64">
        <f>_xlfn.XLOOKUP($C15,Tb_DISTR.FIN[Nº  SS],Tb_DISTR.FIN[SET.25],"0%",0,1)</f>
        <v>0</v>
      </c>
      <c r="J15" s="51">
        <f t="shared" ref="J15" si="105">$E15*I15</f>
        <v>0</v>
      </c>
      <c r="K15" s="65">
        <f t="shared" ref="K15" si="106">I15</f>
        <v>0</v>
      </c>
      <c r="L15" s="66">
        <f t="shared" ref="L15:L27" si="107">$E15*K15</f>
        <v>0</v>
      </c>
      <c r="M15" s="67"/>
      <c r="N15" s="68"/>
      <c r="O15" s="64">
        <f>_xlfn.XLOOKUP($C15,Tb_DISTR.FIN[Nº  SS],Tb_DISTR.FIN[OUT.25],"0%",0,1)</f>
        <v>0.1</v>
      </c>
      <c r="P15" s="51">
        <f t="shared" ref="P15:P27" si="108">$E15*O15</f>
        <v>920124.93284999998</v>
      </c>
      <c r="Q15" s="65">
        <v>0.1</v>
      </c>
      <c r="R15" s="66">
        <f t="shared" ref="R15:R27" si="109">$E15*Q15</f>
        <v>920124.93284999998</v>
      </c>
      <c r="S15" s="67">
        <v>0.1</v>
      </c>
      <c r="T15" s="68">
        <f t="shared" ref="T15:T27" si="110">$E15*S15</f>
        <v>920124.93284999998</v>
      </c>
      <c r="U15" s="64">
        <v>0.23</v>
      </c>
      <c r="V15" s="51">
        <f t="shared" ref="V15:V27" si="111">$E15*U15</f>
        <v>2116287.345555</v>
      </c>
      <c r="W15" s="65">
        <v>0.23</v>
      </c>
      <c r="X15" s="66">
        <f t="shared" ref="X15:X27" si="112">$E15*W15</f>
        <v>2116287.345555</v>
      </c>
      <c r="Y15" s="67">
        <v>0.23</v>
      </c>
      <c r="Z15" s="68">
        <f t="shared" ref="Z15:Z27" si="113">$E15*Y15</f>
        <v>2116287.345555</v>
      </c>
      <c r="AA15" s="64">
        <v>0.09</v>
      </c>
      <c r="AB15" s="51">
        <f t="shared" ref="AB15:AB26" si="114">$E15*AA15</f>
        <v>828112.43956499989</v>
      </c>
      <c r="AC15" s="65">
        <f>_xlfn.XLOOKUP($C15,Tb_DISTR.FIN[Nº  SS],Tb_DISTR.FIN[DEZ.25],"0%",0,1)</f>
        <v>0.09</v>
      </c>
      <c r="AD15" s="66">
        <f t="shared" ref="AD15:AD27" si="115">$E15*AC15</f>
        <v>828112.43956499989</v>
      </c>
      <c r="AE15" s="67">
        <v>0.09</v>
      </c>
      <c r="AF15" s="68">
        <f t="shared" ref="AF15:AF27" si="116">$E15*AE15</f>
        <v>828112.43956499989</v>
      </c>
      <c r="AG15" s="64">
        <v>0.09</v>
      </c>
      <c r="AH15" s="51">
        <f t="shared" ref="AH15:AH27" si="117">$E15*AG15</f>
        <v>828112.43956499989</v>
      </c>
      <c r="AI15" s="65">
        <v>0.09</v>
      </c>
      <c r="AJ15" s="66">
        <f t="shared" ref="AJ15:AJ27" si="118">$E15*AI15</f>
        <v>828112.43956499989</v>
      </c>
      <c r="AK15" s="67">
        <f>_xlfn.XLOOKUP($C15,Tb_DISTR.FIN[Nº  SS],Tb_DISTR.FIN[JAN.26],"0%",0,1)</f>
        <v>0.09</v>
      </c>
      <c r="AL15" s="68">
        <f t="shared" ref="AL15:AL27" si="119">$E15*AK15</f>
        <v>828112.43956499989</v>
      </c>
      <c r="AM15" s="64">
        <v>0.09</v>
      </c>
      <c r="AN15" s="51">
        <f t="shared" ref="AN15:AN27" si="120">$E15*AM15</f>
        <v>828112.43956499989</v>
      </c>
      <c r="AO15" s="65">
        <f t="shared" ref="AO15:AO27" si="121">AM15</f>
        <v>0.09</v>
      </c>
      <c r="AP15" s="66">
        <f t="shared" ref="AP15:AP27" si="122">$E15*AO15</f>
        <v>828112.43956499989</v>
      </c>
      <c r="AQ15" s="67">
        <v>2.5000000000000001E-2</v>
      </c>
      <c r="AR15" s="68">
        <f t="shared" ref="AR15:AR27" si="123">$E15*AQ15</f>
        <v>230031.2332125</v>
      </c>
      <c r="AS15" s="64">
        <f>_xlfn.XLOOKUP($C15,Tb_DISTR.FIN[Nº  SS],Tb_DISTR.FIN[MAR.26],"0%",0,1)</f>
        <v>7.0000000000000007E-2</v>
      </c>
      <c r="AT15" s="51">
        <f t="shared" ref="AT15:AT27" si="124">$E15*AS15</f>
        <v>644087.45299499994</v>
      </c>
      <c r="AU15" s="65">
        <f t="shared" ref="AU15:AU27" si="125">AS15</f>
        <v>7.0000000000000007E-2</v>
      </c>
      <c r="AV15" s="66">
        <f t="shared" ref="AV15:AV27" si="126">$E15*AU15</f>
        <v>644087.45299499994</v>
      </c>
      <c r="AW15" s="67"/>
      <c r="AX15" s="68">
        <f t="shared" ref="AX15:AX27" si="127">$E15*AW15</f>
        <v>0</v>
      </c>
      <c r="AY15" s="64">
        <f>_xlfn.XLOOKUP($C15,Tb_DISTR.FIN[Nº  SS],Tb_DISTR.FIN[ABR.26],"0%",0,1)</f>
        <v>8.5000000000000006E-2</v>
      </c>
      <c r="AZ15" s="51">
        <f t="shared" ref="AZ15:AZ27" si="128">$E15*AY15</f>
        <v>782106.19292249996</v>
      </c>
      <c r="BA15" s="65">
        <f t="shared" ref="BA15:BA27" si="129">AY15</f>
        <v>8.5000000000000006E-2</v>
      </c>
      <c r="BB15" s="66">
        <f t="shared" ref="BB15:BB27" si="130">$E15*BA15</f>
        <v>782106.19292249996</v>
      </c>
      <c r="BC15" s="67"/>
      <c r="BD15" s="68">
        <f t="shared" ref="BD15:BD27" si="131">$E15*BC15</f>
        <v>0</v>
      </c>
      <c r="BE15" s="64">
        <f>_xlfn.XLOOKUP($C15,Tb_DISTR.FIN[Nº  SS],Tb_DISTR.FIN[MAI.26],"0%",0,1)</f>
        <v>0.11</v>
      </c>
      <c r="BF15" s="51">
        <f t="shared" ref="BF15:BF27" si="132">$E15*BE15</f>
        <v>1012137.4261349998</v>
      </c>
      <c r="BG15" s="65">
        <f t="shared" ref="BG15:BG27" si="133">BE15</f>
        <v>0.11</v>
      </c>
      <c r="BH15" s="66">
        <f t="shared" ref="BH15:BH27" si="134">$E15*BG15</f>
        <v>1012137.4261349998</v>
      </c>
      <c r="BI15" s="67"/>
      <c r="BJ15" s="68">
        <f t="shared" ref="BJ15:BJ27" si="135">$E15*BI15</f>
        <v>0</v>
      </c>
      <c r="BK15" s="64">
        <f>_xlfn.XLOOKUP($C15,Tb_DISTR.FIN[Nº  SS],Tb_DISTR.FIN[JUN.26],"0%",0,1)</f>
        <v>0.1</v>
      </c>
      <c r="BL15" s="51">
        <f t="shared" ref="BL15:BL27" si="136">$E15*BK15</f>
        <v>920124.93284999998</v>
      </c>
      <c r="BM15" s="65">
        <f t="shared" ref="BM15:BM27" si="137">BK15</f>
        <v>0.1</v>
      </c>
      <c r="BN15" s="66">
        <f t="shared" ref="BN15:BN27" si="138">$E15*BM15</f>
        <v>920124.93284999998</v>
      </c>
      <c r="BO15" s="67"/>
      <c r="BP15" s="68">
        <f t="shared" ref="BP15:BP27" si="139">$E15*BO15</f>
        <v>0</v>
      </c>
      <c r="BQ15" s="64">
        <f>_xlfn.XLOOKUP($C15,Tb_DISTR.FIN[Nº  SS],Tb_DISTR.FIN[JUL.26],"0%",0,1)</f>
        <v>0.1</v>
      </c>
      <c r="BR15" s="51">
        <f t="shared" ref="BR15:BR27" si="140">$E15*BQ15</f>
        <v>920124.93284999998</v>
      </c>
      <c r="BS15" s="65">
        <f t="shared" ref="BS15:BS27" si="141">BQ15</f>
        <v>0.1</v>
      </c>
      <c r="BT15" s="66">
        <f t="shared" ref="BT15:BT27" si="142">$E15*BS15</f>
        <v>920124.93284999998</v>
      </c>
      <c r="BU15" s="67"/>
      <c r="BV15" s="68">
        <f t="shared" ref="BV15:BV27" si="143">$E15*BU15</f>
        <v>0</v>
      </c>
      <c r="BW15" s="64">
        <f>_xlfn.XLOOKUP($C15,Tb_DISTR.FIN[Nº  SS],Tb_DISTR.FIN[AGO.26],"0%",0,1)</f>
        <v>0</v>
      </c>
      <c r="BX15" s="51">
        <f t="shared" ref="BX15:BX27" si="144">$E15*BW15</f>
        <v>0</v>
      </c>
      <c r="BY15" s="65">
        <f t="shared" ref="BY15:BY27" si="145">BW15</f>
        <v>0</v>
      </c>
      <c r="BZ15" s="66">
        <f t="shared" ref="BZ15:BZ27" si="146">$E15*BY15</f>
        <v>0</v>
      </c>
      <c r="CA15" s="67"/>
      <c r="CB15" s="68">
        <f t="shared" ref="CB15:CB27" si="147">$E15*CA15</f>
        <v>0</v>
      </c>
    </row>
    <row r="16" spans="1:144" s="42" customFormat="1" ht="24" customHeight="1" x14ac:dyDescent="0.2">
      <c r="A16" s="281" t="s">
        <v>125</v>
      </c>
      <c r="B16" s="281" t="s">
        <v>150</v>
      </c>
      <c r="C16" s="282" t="s">
        <v>339</v>
      </c>
      <c r="D16" s="283" t="s">
        <v>157</v>
      </c>
      <c r="E16" s="284">
        <v>857462.22378</v>
      </c>
      <c r="F16" s="284">
        <f t="shared" si="102"/>
        <v>0</v>
      </c>
      <c r="G16" s="285">
        <f>IFERROR(((J16+P16+X16+AB16+AH16+AN16+AT16+AZ16+BF16+BL16+BR16+BX16)/E16),0)-AC16</f>
        <v>1.0058377561141219</v>
      </c>
      <c r="H16" s="286">
        <f t="shared" si="104"/>
        <v>1</v>
      </c>
      <c r="I16" s="64">
        <f>_xlfn.XLOOKUP($C16,Tb_DISTR.FIN[Nº  SS],Tb_DISTR.FIN[SET.25],"0%",0,1)</f>
        <v>8.3130569514498792E-2</v>
      </c>
      <c r="J16" s="51">
        <f t="shared" ref="J16:J27" si="148">$E16*I16</f>
        <v>71281.323000000004</v>
      </c>
      <c r="K16" s="65">
        <f t="shared" ref="K16:K19" si="149">I16</f>
        <v>8.3130569514498792E-2</v>
      </c>
      <c r="L16" s="66">
        <f t="shared" si="107"/>
        <v>71281.323000000004</v>
      </c>
      <c r="M16" s="67"/>
      <c r="N16" s="68">
        <v>71281.323000000004</v>
      </c>
      <c r="O16" s="64">
        <f>_xlfn.XLOOKUP($C16,Tb_DISTR.FIN[Nº  SS],Tb_DISTR.FIN[OUT.25],"0%",0,1)</f>
        <v>0.23189999999999994</v>
      </c>
      <c r="P16" s="51">
        <f t="shared" si="108"/>
        <v>198845.48969458195</v>
      </c>
      <c r="Q16" s="65">
        <f t="shared" ref="Q16:Q27" si="150">O16</f>
        <v>0.23189999999999994</v>
      </c>
      <c r="R16" s="66">
        <f t="shared" si="109"/>
        <v>198845.48969458195</v>
      </c>
      <c r="S16" s="67">
        <f t="shared" ref="S16:S27" si="151">O16</f>
        <v>0.23189999999999994</v>
      </c>
      <c r="T16" s="68">
        <f t="shared" si="110"/>
        <v>198845.48969458195</v>
      </c>
      <c r="U16" s="64">
        <f>_xlfn.XLOOKUP($C16,Tb_DISTR.FIN[Nº  SS],Tb_DISTR.FIN[NOV.25],"0%",0,1)</f>
        <v>0.24736</v>
      </c>
      <c r="V16" s="51">
        <f t="shared" si="111"/>
        <v>212101.8556742208</v>
      </c>
      <c r="W16" s="65">
        <f>_xlfn.XLOOKUP($C16,Tb_DISTR.FIN[Nº  SS],Tb_DISTR.FIN[NOV.25],"0%",0,1)</f>
        <v>0.24736</v>
      </c>
      <c r="X16" s="66">
        <f t="shared" si="112"/>
        <v>212101.8556742208</v>
      </c>
      <c r="Y16" s="67">
        <f>_xlfn.XLOOKUP($C16,Tb_DISTR.FIN[Nº  SS],Tb_DISTR.FIN[NOV.25],"0%",0,1)</f>
        <v>0.24736</v>
      </c>
      <c r="Z16" s="68">
        <f t="shared" si="113"/>
        <v>212101.8556742208</v>
      </c>
      <c r="AA16" s="64">
        <f>AB16/E16</f>
        <v>0.21643720837271099</v>
      </c>
      <c r="AB16" s="51">
        <v>185586.73</v>
      </c>
      <c r="AC16" s="65">
        <v>0.21643720837271099</v>
      </c>
      <c r="AD16" s="66">
        <f t="shared" si="115"/>
        <v>185586.73</v>
      </c>
      <c r="AE16" s="67"/>
      <c r="AF16" s="68">
        <f t="shared" si="116"/>
        <v>0</v>
      </c>
      <c r="AG16" s="64">
        <v>0.44344718659962312</v>
      </c>
      <c r="AH16" s="51">
        <f t="shared" si="117"/>
        <v>380239.21075069747</v>
      </c>
      <c r="AI16" s="65">
        <v>0.44344718659962312</v>
      </c>
      <c r="AJ16" s="66">
        <f t="shared" si="118"/>
        <v>380239.21075069747</v>
      </c>
      <c r="AK16" s="67">
        <f>_xlfn.XLOOKUP($C16,Tb_DISTR.FIN[Nº  SS],Tb_DISTR.FIN[JAN.26],"0%",0,1)</f>
        <v>0.43760943048550127</v>
      </c>
      <c r="AL16" s="68">
        <f t="shared" si="119"/>
        <v>375233.55541119725</v>
      </c>
      <c r="AM16" s="64">
        <v>0</v>
      </c>
      <c r="AN16" s="51">
        <f t="shared" si="120"/>
        <v>0</v>
      </c>
      <c r="AO16" s="65">
        <f t="shared" si="121"/>
        <v>0</v>
      </c>
      <c r="AP16" s="66">
        <f t="shared" si="122"/>
        <v>0</v>
      </c>
      <c r="AQ16" s="67"/>
      <c r="AR16" s="68">
        <f t="shared" si="123"/>
        <v>0</v>
      </c>
      <c r="AS16" s="64">
        <f>_xlfn.XLOOKUP($C16,Tb_DISTR.FIN[Nº  SS],Tb_DISTR.FIN[MAR.26],"0%",0,1)</f>
        <v>0</v>
      </c>
      <c r="AT16" s="51">
        <f t="shared" si="124"/>
        <v>0</v>
      </c>
      <c r="AU16" s="65">
        <f t="shared" si="125"/>
        <v>0</v>
      </c>
      <c r="AV16" s="66">
        <f t="shared" si="126"/>
        <v>0</v>
      </c>
      <c r="AW16" s="67"/>
      <c r="AX16" s="68">
        <f t="shared" si="127"/>
        <v>0</v>
      </c>
      <c r="AY16" s="64">
        <f>_xlfn.XLOOKUP($C16,Tb_DISTR.FIN[Nº  SS],Tb_DISTR.FIN[ABR.26],"0%",0,1)</f>
        <v>0</v>
      </c>
      <c r="AZ16" s="51">
        <f t="shared" si="128"/>
        <v>0</v>
      </c>
      <c r="BA16" s="65">
        <f t="shared" si="129"/>
        <v>0</v>
      </c>
      <c r="BB16" s="66">
        <f t="shared" si="130"/>
        <v>0</v>
      </c>
      <c r="BC16" s="67"/>
      <c r="BD16" s="68">
        <f t="shared" si="131"/>
        <v>0</v>
      </c>
      <c r="BE16" s="64">
        <f>_xlfn.XLOOKUP($C16,Tb_DISTR.FIN[Nº  SS],Tb_DISTR.FIN[MAI.26],"0%",0,1)</f>
        <v>0</v>
      </c>
      <c r="BF16" s="51">
        <f t="shared" si="132"/>
        <v>0</v>
      </c>
      <c r="BG16" s="65">
        <f t="shared" si="133"/>
        <v>0</v>
      </c>
      <c r="BH16" s="66">
        <f t="shared" si="134"/>
        <v>0</v>
      </c>
      <c r="BI16" s="67"/>
      <c r="BJ16" s="68">
        <f t="shared" si="135"/>
        <v>0</v>
      </c>
      <c r="BK16" s="64">
        <f>_xlfn.XLOOKUP($C16,Tb_DISTR.FIN[Nº  SS],Tb_DISTR.FIN[JUN.26],"0%",0,1)</f>
        <v>0</v>
      </c>
      <c r="BL16" s="51">
        <f t="shared" si="136"/>
        <v>0</v>
      </c>
      <c r="BM16" s="65">
        <f t="shared" si="137"/>
        <v>0</v>
      </c>
      <c r="BN16" s="66">
        <f t="shared" si="138"/>
        <v>0</v>
      </c>
      <c r="BO16" s="67"/>
      <c r="BP16" s="68">
        <f t="shared" si="139"/>
        <v>0</v>
      </c>
      <c r="BQ16" s="64">
        <f>_xlfn.XLOOKUP($C16,Tb_DISTR.FIN[Nº  SS],Tb_DISTR.FIN[JUL.26],"0%",0,1)</f>
        <v>0</v>
      </c>
      <c r="BR16" s="51">
        <f t="shared" si="140"/>
        <v>0</v>
      </c>
      <c r="BS16" s="65">
        <f t="shared" si="141"/>
        <v>0</v>
      </c>
      <c r="BT16" s="66">
        <f t="shared" si="142"/>
        <v>0</v>
      </c>
      <c r="BU16" s="67"/>
      <c r="BV16" s="68">
        <f t="shared" si="143"/>
        <v>0</v>
      </c>
      <c r="BW16" s="64">
        <f>_xlfn.XLOOKUP($C16,Tb_DISTR.FIN[Nº  SS],Tb_DISTR.FIN[AGO.26],"0%",0,1)</f>
        <v>0</v>
      </c>
      <c r="BX16" s="51">
        <f t="shared" si="144"/>
        <v>0</v>
      </c>
      <c r="BY16" s="65">
        <f t="shared" si="145"/>
        <v>0</v>
      </c>
      <c r="BZ16" s="66">
        <f t="shared" si="146"/>
        <v>0</v>
      </c>
      <c r="CA16" s="67"/>
      <c r="CB16" s="68">
        <f t="shared" si="147"/>
        <v>0</v>
      </c>
    </row>
    <row r="17" spans="1:80" s="42" customFormat="1" ht="24" customHeight="1" x14ac:dyDescent="0.2">
      <c r="A17" s="281" t="s">
        <v>125</v>
      </c>
      <c r="B17" s="281" t="s">
        <v>151</v>
      </c>
      <c r="C17" s="282" t="s">
        <v>340</v>
      </c>
      <c r="D17" s="283" t="s">
        <v>158</v>
      </c>
      <c r="E17" s="284">
        <v>1342003.9550399999</v>
      </c>
      <c r="F17" s="284">
        <f t="shared" si="102"/>
        <v>2.8198063805757556</v>
      </c>
      <c r="G17" s="285">
        <f>IFERROR(((J17+P17+X17+AB17+AH17+AN17+AT17+AZ17+BF17+BL17+BR17+BX17)/E17),0)-(AC17-AE17)</f>
        <v>0.99999789880918744</v>
      </c>
      <c r="H17" s="286">
        <f t="shared" si="104"/>
        <v>0.99999789880918755</v>
      </c>
      <c r="I17" s="64">
        <f>_xlfn.XLOOKUP($C17,Tb_DISTR.FIN[Nº  SS],Tb_DISTR.FIN[SET.25],"0%",0,1)</f>
        <v>0</v>
      </c>
      <c r="J17" s="51">
        <f t="shared" si="148"/>
        <v>0</v>
      </c>
      <c r="K17" s="65">
        <f t="shared" si="149"/>
        <v>0</v>
      </c>
      <c r="L17" s="66">
        <f t="shared" si="107"/>
        <v>0</v>
      </c>
      <c r="M17" s="67"/>
      <c r="N17" s="68"/>
      <c r="O17" s="64">
        <f>_xlfn.XLOOKUP($C17,Tb_DISTR.FIN[Nº  SS],Tb_DISTR.FIN[OUT.25],"0%",0,1)</f>
        <v>0.28759789880918751</v>
      </c>
      <c r="P17" s="51">
        <f t="shared" si="108"/>
        <v>385957.51766312332</v>
      </c>
      <c r="Q17" s="65">
        <f t="shared" si="150"/>
        <v>0.28759789880918751</v>
      </c>
      <c r="R17" s="66">
        <f t="shared" si="109"/>
        <v>385957.51766312332</v>
      </c>
      <c r="S17" s="67">
        <f t="shared" si="151"/>
        <v>0.28759789880918751</v>
      </c>
      <c r="T17" s="68">
        <f t="shared" si="110"/>
        <v>385957.51766312332</v>
      </c>
      <c r="U17" s="64">
        <f>_xlfn.XLOOKUP($C17,Tb_DISTR.FIN[Nº  SS],Tb_DISTR.FIN[NOV.25],"0%",0,1)</f>
        <v>0</v>
      </c>
      <c r="V17" s="51">
        <f t="shared" si="111"/>
        <v>0</v>
      </c>
      <c r="W17" s="65">
        <v>0</v>
      </c>
      <c r="X17" s="66">
        <f t="shared" si="112"/>
        <v>0</v>
      </c>
      <c r="Y17" s="67"/>
      <c r="Z17" s="68">
        <f t="shared" si="113"/>
        <v>0</v>
      </c>
      <c r="AA17" s="64">
        <f>AB17/E17</f>
        <v>0.67106174987923761</v>
      </c>
      <c r="AB17" s="51">
        <v>900567.52241400001</v>
      </c>
      <c r="AC17" s="65">
        <v>0.67106174987923761</v>
      </c>
      <c r="AD17" s="66">
        <f t="shared" si="115"/>
        <v>900567.52241400001</v>
      </c>
      <c r="AE17" s="67">
        <v>0.61240000000000006</v>
      </c>
      <c r="AF17" s="68">
        <f t="shared" si="116"/>
        <v>821843.22206649603</v>
      </c>
      <c r="AG17" s="64">
        <v>0.1</v>
      </c>
      <c r="AH17" s="51">
        <f t="shared" si="117"/>
        <v>134200.39550399999</v>
      </c>
      <c r="AI17" s="65">
        <v>0.1</v>
      </c>
      <c r="AJ17" s="66">
        <f t="shared" si="118"/>
        <v>134200.39550399999</v>
      </c>
      <c r="AK17" s="67">
        <f>_xlfn.XLOOKUP($C17,Tb_DISTR.FIN[Nº  SS],Tb_DISTR.FIN[JAN.26],"0%",0,1)</f>
        <v>0.1</v>
      </c>
      <c r="AL17" s="68">
        <f t="shared" si="119"/>
        <v>134200.39550399999</v>
      </c>
      <c r="AM17" s="64">
        <v>0</v>
      </c>
      <c r="AN17" s="51">
        <f t="shared" si="120"/>
        <v>0</v>
      </c>
      <c r="AO17" s="65">
        <f t="shared" si="121"/>
        <v>0</v>
      </c>
      <c r="AP17" s="66">
        <f t="shared" si="122"/>
        <v>0</v>
      </c>
      <c r="AQ17" s="67"/>
      <c r="AR17" s="68">
        <f t="shared" si="123"/>
        <v>0</v>
      </c>
      <c r="AS17" s="64">
        <f>_xlfn.XLOOKUP($C17,Tb_DISTR.FIN[Nº  SS],Tb_DISTR.FIN[MAR.26],"0%",0,1)</f>
        <v>0</v>
      </c>
      <c r="AT17" s="51">
        <f t="shared" si="124"/>
        <v>0</v>
      </c>
      <c r="AU17" s="65">
        <f t="shared" si="125"/>
        <v>0</v>
      </c>
      <c r="AV17" s="66">
        <f t="shared" si="126"/>
        <v>0</v>
      </c>
      <c r="AW17" s="67"/>
      <c r="AX17" s="68">
        <f t="shared" si="127"/>
        <v>0</v>
      </c>
      <c r="AY17" s="64">
        <f>_xlfn.XLOOKUP($C17,Tb_DISTR.FIN[Nº  SS],Tb_DISTR.FIN[ABR.26],"0%",0,1)</f>
        <v>0</v>
      </c>
      <c r="AZ17" s="51">
        <f t="shared" si="128"/>
        <v>0</v>
      </c>
      <c r="BA17" s="65">
        <f t="shared" si="129"/>
        <v>0</v>
      </c>
      <c r="BB17" s="66">
        <f t="shared" si="130"/>
        <v>0</v>
      </c>
      <c r="BC17" s="67"/>
      <c r="BD17" s="68">
        <f t="shared" si="131"/>
        <v>0</v>
      </c>
      <c r="BE17" s="64">
        <f>_xlfn.XLOOKUP($C17,Tb_DISTR.FIN[Nº  SS],Tb_DISTR.FIN[MAI.26],"0%",0,1)</f>
        <v>0</v>
      </c>
      <c r="BF17" s="51">
        <f t="shared" si="132"/>
        <v>0</v>
      </c>
      <c r="BG17" s="65">
        <f t="shared" si="133"/>
        <v>0</v>
      </c>
      <c r="BH17" s="66">
        <f t="shared" si="134"/>
        <v>0</v>
      </c>
      <c r="BI17" s="67"/>
      <c r="BJ17" s="68">
        <f t="shared" si="135"/>
        <v>0</v>
      </c>
      <c r="BK17" s="64">
        <f>_xlfn.XLOOKUP($C17,Tb_DISTR.FIN[Nº  SS],Tb_DISTR.FIN[JUN.26],"0%",0,1)</f>
        <v>0</v>
      </c>
      <c r="BL17" s="51">
        <f t="shared" si="136"/>
        <v>0</v>
      </c>
      <c r="BM17" s="65">
        <f t="shared" si="137"/>
        <v>0</v>
      </c>
      <c r="BN17" s="66">
        <f t="shared" si="138"/>
        <v>0</v>
      </c>
      <c r="BO17" s="67"/>
      <c r="BP17" s="68">
        <f t="shared" si="139"/>
        <v>0</v>
      </c>
      <c r="BQ17" s="64">
        <f>_xlfn.XLOOKUP($C17,Tb_DISTR.FIN[Nº  SS],Tb_DISTR.FIN[JUL.26],"0%",0,1)</f>
        <v>0</v>
      </c>
      <c r="BR17" s="51">
        <f t="shared" si="140"/>
        <v>0</v>
      </c>
      <c r="BS17" s="65">
        <f t="shared" si="141"/>
        <v>0</v>
      </c>
      <c r="BT17" s="66">
        <f t="shared" si="142"/>
        <v>0</v>
      </c>
      <c r="BU17" s="67"/>
      <c r="BV17" s="68">
        <f t="shared" si="143"/>
        <v>0</v>
      </c>
      <c r="BW17" s="64">
        <f>_xlfn.XLOOKUP($C17,Tb_DISTR.FIN[Nº  SS],Tb_DISTR.FIN[AGO.26],"0%",0,1)</f>
        <v>0</v>
      </c>
      <c r="BX17" s="51">
        <f t="shared" si="144"/>
        <v>0</v>
      </c>
      <c r="BY17" s="65">
        <f t="shared" si="145"/>
        <v>0</v>
      </c>
      <c r="BZ17" s="66">
        <f t="shared" si="146"/>
        <v>0</v>
      </c>
      <c r="CA17" s="67"/>
      <c r="CB17" s="68">
        <f t="shared" si="147"/>
        <v>0</v>
      </c>
    </row>
    <row r="18" spans="1:80" s="42" customFormat="1" ht="24" customHeight="1" x14ac:dyDescent="0.2">
      <c r="A18" s="281" t="s">
        <v>125</v>
      </c>
      <c r="B18" s="281" t="s">
        <v>152</v>
      </c>
      <c r="C18" s="282" t="s">
        <v>341</v>
      </c>
      <c r="D18" s="283" t="s">
        <v>178</v>
      </c>
      <c r="E18" s="284">
        <v>572533.1298</v>
      </c>
      <c r="F18" s="284">
        <f t="shared" si="102"/>
        <v>-7.6776307422696846</v>
      </c>
      <c r="G18" s="285">
        <f>IFERROR(((J18+P18+X18+AB18+AH18+AN18+AT18+AZ18+BF18+BL18+BR18+BX18)/E18),0)-1%</f>
        <v>1.0029076400857988</v>
      </c>
      <c r="H18" s="286">
        <f t="shared" si="104"/>
        <v>1.0000134099327056</v>
      </c>
      <c r="I18" s="64">
        <f>_xlfn.XLOOKUP($C18,Tb_DISTR.FIN[Nº  SS],Tb_DISTR.FIN[SET.25],"0%",0,1)</f>
        <v>0</v>
      </c>
      <c r="J18" s="51">
        <f t="shared" si="148"/>
        <v>0</v>
      </c>
      <c r="K18" s="65">
        <f t="shared" si="149"/>
        <v>0</v>
      </c>
      <c r="L18" s="66">
        <f t="shared" si="107"/>
        <v>0</v>
      </c>
      <c r="M18" s="67"/>
      <c r="N18" s="68"/>
      <c r="O18" s="64">
        <f>_xlfn.XLOOKUP($C18,Tb_DISTR.FIN[Nº  SS],Tb_DISTR.FIN[OUT.25],"0%",0,1)</f>
        <v>0.27387204595962328</v>
      </c>
      <c r="P18" s="51">
        <f t="shared" si="108"/>
        <v>156800.81963799256</v>
      </c>
      <c r="Q18" s="65">
        <f t="shared" si="150"/>
        <v>0.27387204595962328</v>
      </c>
      <c r="R18" s="66">
        <f t="shared" si="109"/>
        <v>156800.81963799256</v>
      </c>
      <c r="S18" s="67">
        <f t="shared" si="151"/>
        <v>0.27387204595962328</v>
      </c>
      <c r="T18" s="68">
        <f t="shared" si="110"/>
        <v>156800.81963799256</v>
      </c>
      <c r="U18" s="64">
        <f>_xlfn.XLOOKUP($C18,Tb_DISTR.FIN[Nº  SS],Tb_DISTR.FIN[NOV.25],"0%",0,1)</f>
        <v>0.18258136397308219</v>
      </c>
      <c r="V18" s="51">
        <f t="shared" si="111"/>
        <v>104533.87975866171</v>
      </c>
      <c r="W18" s="65">
        <f>_xlfn.XLOOKUP($C18,Tb_DISTR.FIN[Nº  SS],Tb_DISTR.FIN[NOV.25],"0%",0,1)</f>
        <v>0.18258136397308219</v>
      </c>
      <c r="X18" s="66">
        <f t="shared" si="112"/>
        <v>104533.87975866171</v>
      </c>
      <c r="Y18" s="67">
        <f>_xlfn.XLOOKUP($C18,Tb_DISTR.FIN[Nº  SS],Tb_DISTR.FIN[NOV.25],"0%",0,1)</f>
        <v>0.18258136397308219</v>
      </c>
      <c r="Z18" s="68">
        <f t="shared" si="113"/>
        <v>104533.87975866171</v>
      </c>
      <c r="AA18" s="64">
        <f>AB18/E18</f>
        <v>0.45645423015309322</v>
      </c>
      <c r="AB18" s="51">
        <v>261335.16899999999</v>
      </c>
      <c r="AC18" s="65">
        <v>0.45645423015309322</v>
      </c>
      <c r="AD18" s="66">
        <f t="shared" si="115"/>
        <v>261335.16899999999</v>
      </c>
      <c r="AE18" s="67">
        <v>0.44356000000000001</v>
      </c>
      <c r="AF18" s="68">
        <f t="shared" si="116"/>
        <v>253952.795054088</v>
      </c>
      <c r="AG18" s="64">
        <v>0.1</v>
      </c>
      <c r="AH18" s="51">
        <f t="shared" si="117"/>
        <v>57253.312980000002</v>
      </c>
      <c r="AI18" s="65">
        <v>0.1</v>
      </c>
      <c r="AJ18" s="66">
        <f t="shared" si="118"/>
        <v>57253.312980000002</v>
      </c>
      <c r="AK18" s="67">
        <f>_xlfn.XLOOKUP($C18,Tb_DISTR.FIN[Nº  SS],Tb_DISTR.FIN[JAN.26],"0%",0,1)</f>
        <v>0.1</v>
      </c>
      <c r="AL18" s="68">
        <f t="shared" si="119"/>
        <v>57253.312980000002</v>
      </c>
      <c r="AM18" s="64">
        <v>0</v>
      </c>
      <c r="AN18" s="51">
        <f t="shared" si="120"/>
        <v>0</v>
      </c>
      <c r="AO18" s="65">
        <f t="shared" si="121"/>
        <v>0</v>
      </c>
      <c r="AP18" s="66">
        <f t="shared" si="122"/>
        <v>0</v>
      </c>
      <c r="AQ18" s="67"/>
      <c r="AR18" s="68">
        <f t="shared" si="123"/>
        <v>0</v>
      </c>
      <c r="AS18" s="64">
        <f>_xlfn.XLOOKUP($C18,Tb_DISTR.FIN[Nº  SS],Tb_DISTR.FIN[MAR.26],"0%",0,1)</f>
        <v>0</v>
      </c>
      <c r="AT18" s="51">
        <f t="shared" si="124"/>
        <v>0</v>
      </c>
      <c r="AU18" s="65">
        <f t="shared" si="125"/>
        <v>0</v>
      </c>
      <c r="AV18" s="66">
        <f t="shared" si="126"/>
        <v>0</v>
      </c>
      <c r="AW18" s="67"/>
      <c r="AX18" s="68">
        <f t="shared" si="127"/>
        <v>0</v>
      </c>
      <c r="AY18" s="64">
        <f>_xlfn.XLOOKUP($C18,Tb_DISTR.FIN[Nº  SS],Tb_DISTR.FIN[ABR.26],"0%",0,1)</f>
        <v>0</v>
      </c>
      <c r="AZ18" s="51">
        <f t="shared" si="128"/>
        <v>0</v>
      </c>
      <c r="BA18" s="65">
        <f t="shared" si="129"/>
        <v>0</v>
      </c>
      <c r="BB18" s="66">
        <f t="shared" si="130"/>
        <v>0</v>
      </c>
      <c r="BC18" s="67"/>
      <c r="BD18" s="68">
        <f t="shared" si="131"/>
        <v>0</v>
      </c>
      <c r="BE18" s="64">
        <f>_xlfn.XLOOKUP($C18,Tb_DISTR.FIN[Nº  SS],Tb_DISTR.FIN[MAI.26],"0%",0,1)</f>
        <v>0</v>
      </c>
      <c r="BF18" s="51">
        <f t="shared" si="132"/>
        <v>0</v>
      </c>
      <c r="BG18" s="65">
        <f t="shared" si="133"/>
        <v>0</v>
      </c>
      <c r="BH18" s="66">
        <f t="shared" si="134"/>
        <v>0</v>
      </c>
      <c r="BI18" s="67"/>
      <c r="BJ18" s="68">
        <f t="shared" si="135"/>
        <v>0</v>
      </c>
      <c r="BK18" s="64">
        <f>_xlfn.XLOOKUP($C18,Tb_DISTR.FIN[Nº  SS],Tb_DISTR.FIN[JUN.26],"0%",0,1)</f>
        <v>0</v>
      </c>
      <c r="BL18" s="51">
        <f t="shared" si="136"/>
        <v>0</v>
      </c>
      <c r="BM18" s="65">
        <f t="shared" si="137"/>
        <v>0</v>
      </c>
      <c r="BN18" s="66">
        <f t="shared" si="138"/>
        <v>0</v>
      </c>
      <c r="BO18" s="67"/>
      <c r="BP18" s="68">
        <f t="shared" si="139"/>
        <v>0</v>
      </c>
      <c r="BQ18" s="64">
        <f>_xlfn.XLOOKUP($C18,Tb_DISTR.FIN[Nº  SS],Tb_DISTR.FIN[JUL.26],"0%",0,1)</f>
        <v>0</v>
      </c>
      <c r="BR18" s="51">
        <f t="shared" si="140"/>
        <v>0</v>
      </c>
      <c r="BS18" s="65">
        <f t="shared" si="141"/>
        <v>0</v>
      </c>
      <c r="BT18" s="66">
        <f t="shared" si="142"/>
        <v>0</v>
      </c>
      <c r="BU18" s="67"/>
      <c r="BV18" s="68">
        <f t="shared" si="143"/>
        <v>0</v>
      </c>
      <c r="BW18" s="64">
        <f>_xlfn.XLOOKUP($C18,Tb_DISTR.FIN[Nº  SS],Tb_DISTR.FIN[AGO.26],"0%",0,1)</f>
        <v>0</v>
      </c>
      <c r="BX18" s="51">
        <f t="shared" si="144"/>
        <v>0</v>
      </c>
      <c r="BY18" s="65">
        <f t="shared" si="145"/>
        <v>0</v>
      </c>
      <c r="BZ18" s="66">
        <f t="shared" si="146"/>
        <v>0</v>
      </c>
      <c r="CA18" s="67"/>
      <c r="CB18" s="68">
        <f t="shared" si="147"/>
        <v>0</v>
      </c>
    </row>
    <row r="19" spans="1:80" s="42" customFormat="1" ht="24" customHeight="1" x14ac:dyDescent="0.2">
      <c r="A19" s="58" t="s">
        <v>125</v>
      </c>
      <c r="B19" s="58" t="s">
        <v>175</v>
      </c>
      <c r="C19" s="59" t="s">
        <v>342</v>
      </c>
      <c r="D19" s="60" t="s">
        <v>179</v>
      </c>
      <c r="E19" s="61">
        <v>743593.46399999992</v>
      </c>
      <c r="F19" s="61">
        <f t="shared" si="102"/>
        <v>371796.73199999996</v>
      </c>
      <c r="G19" s="62">
        <f t="shared" si="103"/>
        <v>1.2</v>
      </c>
      <c r="H19" s="63">
        <f t="shared" si="104"/>
        <v>0.5</v>
      </c>
      <c r="I19" s="64">
        <f>_xlfn.XLOOKUP($C19,Tb_DISTR.FIN[Nº  SS],Tb_DISTR.FIN[SET.25],"0%",0,1)</f>
        <v>0</v>
      </c>
      <c r="J19" s="51">
        <f t="shared" si="148"/>
        <v>0</v>
      </c>
      <c r="K19" s="65">
        <f t="shared" si="149"/>
        <v>0</v>
      </c>
      <c r="L19" s="66">
        <f t="shared" si="107"/>
        <v>0</v>
      </c>
      <c r="M19" s="67"/>
      <c r="N19" s="68"/>
      <c r="O19" s="64">
        <f>_xlfn.XLOOKUP($C19,Tb_DISTR.FIN[Nº  SS],Tb_DISTR.FIN[OUT.25],"0%",0,1)</f>
        <v>0.1</v>
      </c>
      <c r="P19" s="51">
        <f t="shared" si="108"/>
        <v>74359.346399999995</v>
      </c>
      <c r="Q19" s="65">
        <f t="shared" si="150"/>
        <v>0.1</v>
      </c>
      <c r="R19" s="66">
        <f t="shared" si="109"/>
        <v>74359.346399999995</v>
      </c>
      <c r="S19" s="67">
        <f t="shared" si="151"/>
        <v>0.1</v>
      </c>
      <c r="T19" s="68">
        <f t="shared" si="110"/>
        <v>74359.346399999995</v>
      </c>
      <c r="U19" s="64">
        <v>0.2</v>
      </c>
      <c r="V19" s="51">
        <f t="shared" si="111"/>
        <v>148718.69279999999</v>
      </c>
      <c r="W19" s="65">
        <v>0.2</v>
      </c>
      <c r="X19" s="66">
        <f t="shared" si="112"/>
        <v>148718.69279999999</v>
      </c>
      <c r="Y19" s="67">
        <v>0.2</v>
      </c>
      <c r="Z19" s="68">
        <f t="shared" si="113"/>
        <v>148718.69279999999</v>
      </c>
      <c r="AA19" s="64">
        <v>0</v>
      </c>
      <c r="AB19" s="51">
        <f t="shared" si="114"/>
        <v>0</v>
      </c>
      <c r="AC19" s="65">
        <f>_xlfn.XLOOKUP($C19,Tb_DISTR.FIN[Nº  SS],Tb_DISTR.FIN[DEZ.25],"0%",0,1)</f>
        <v>0</v>
      </c>
      <c r="AD19" s="66">
        <f t="shared" si="115"/>
        <v>0</v>
      </c>
      <c r="AE19" s="67"/>
      <c r="AF19" s="68">
        <f t="shared" si="116"/>
        <v>0</v>
      </c>
      <c r="AG19" s="64">
        <v>0.2</v>
      </c>
      <c r="AH19" s="51">
        <f t="shared" si="117"/>
        <v>148718.69279999999</v>
      </c>
      <c r="AI19" s="65">
        <v>0.2</v>
      </c>
      <c r="AJ19" s="66">
        <f t="shared" si="118"/>
        <v>148718.69279999999</v>
      </c>
      <c r="AK19" s="67">
        <f>_xlfn.XLOOKUP($C19,Tb_DISTR.FIN[Nº  SS],Tb_DISTR.FIN[JAN.26],"0%",0,1)</f>
        <v>0</v>
      </c>
      <c r="AL19" s="68">
        <f t="shared" si="119"/>
        <v>0</v>
      </c>
      <c r="AM19" s="64">
        <v>0.2</v>
      </c>
      <c r="AN19" s="51">
        <f t="shared" si="120"/>
        <v>148718.69279999999</v>
      </c>
      <c r="AO19" s="65">
        <f t="shared" si="121"/>
        <v>0.2</v>
      </c>
      <c r="AP19" s="66">
        <f t="shared" si="122"/>
        <v>148718.69279999999</v>
      </c>
      <c r="AQ19" s="67">
        <v>0.2</v>
      </c>
      <c r="AR19" s="68">
        <f t="shared" si="123"/>
        <v>148718.69279999999</v>
      </c>
      <c r="AS19" s="64">
        <f>_xlfn.XLOOKUP($C19,Tb_DISTR.FIN[Nº  SS],Tb_DISTR.FIN[MAR.26],"0%",0,1)</f>
        <v>0.15</v>
      </c>
      <c r="AT19" s="51">
        <f t="shared" si="124"/>
        <v>111539.01959999999</v>
      </c>
      <c r="AU19" s="65">
        <f t="shared" si="125"/>
        <v>0.15</v>
      </c>
      <c r="AV19" s="66">
        <f t="shared" si="126"/>
        <v>111539.01959999999</v>
      </c>
      <c r="AW19" s="67"/>
      <c r="AX19" s="68">
        <f t="shared" si="127"/>
        <v>0</v>
      </c>
      <c r="AY19" s="64">
        <f>_xlfn.XLOOKUP($C19,Tb_DISTR.FIN[Nº  SS],Tb_DISTR.FIN[ABR.26],"0%",0,1)</f>
        <v>0.35</v>
      </c>
      <c r="AZ19" s="51">
        <f t="shared" si="128"/>
        <v>260257.71239999996</v>
      </c>
      <c r="BA19" s="65">
        <f t="shared" si="129"/>
        <v>0.35</v>
      </c>
      <c r="BB19" s="66">
        <f t="shared" si="130"/>
        <v>260257.71239999996</v>
      </c>
      <c r="BC19" s="67"/>
      <c r="BD19" s="68">
        <f t="shared" si="131"/>
        <v>0</v>
      </c>
      <c r="BE19" s="64">
        <f>_xlfn.XLOOKUP($C19,Tb_DISTR.FIN[Nº  SS],Tb_DISTR.FIN[MAI.26],"0%",0,1)</f>
        <v>0</v>
      </c>
      <c r="BF19" s="51">
        <f t="shared" si="132"/>
        <v>0</v>
      </c>
      <c r="BG19" s="65">
        <f t="shared" si="133"/>
        <v>0</v>
      </c>
      <c r="BH19" s="66">
        <f t="shared" si="134"/>
        <v>0</v>
      </c>
      <c r="BI19" s="67"/>
      <c r="BJ19" s="68">
        <f t="shared" si="135"/>
        <v>0</v>
      </c>
      <c r="BK19" s="64">
        <f>_xlfn.XLOOKUP($C19,Tb_DISTR.FIN[Nº  SS],Tb_DISTR.FIN[JUN.26],"0%",0,1)</f>
        <v>0</v>
      </c>
      <c r="BL19" s="51">
        <f t="shared" si="136"/>
        <v>0</v>
      </c>
      <c r="BM19" s="65">
        <f t="shared" si="137"/>
        <v>0</v>
      </c>
      <c r="BN19" s="66">
        <f t="shared" si="138"/>
        <v>0</v>
      </c>
      <c r="BO19" s="67"/>
      <c r="BP19" s="68">
        <f t="shared" si="139"/>
        <v>0</v>
      </c>
      <c r="BQ19" s="64">
        <f>_xlfn.XLOOKUP($C19,Tb_DISTR.FIN[Nº  SS],Tb_DISTR.FIN[JUL.26],"0%",0,1)</f>
        <v>0</v>
      </c>
      <c r="BR19" s="51">
        <f t="shared" si="140"/>
        <v>0</v>
      </c>
      <c r="BS19" s="65">
        <f t="shared" si="141"/>
        <v>0</v>
      </c>
      <c r="BT19" s="66">
        <f t="shared" si="142"/>
        <v>0</v>
      </c>
      <c r="BU19" s="67"/>
      <c r="BV19" s="68">
        <f t="shared" si="143"/>
        <v>0</v>
      </c>
      <c r="BW19" s="64">
        <f>_xlfn.XLOOKUP($C19,Tb_DISTR.FIN[Nº  SS],Tb_DISTR.FIN[AGO.26],"0%",0,1)</f>
        <v>0</v>
      </c>
      <c r="BX19" s="51">
        <f t="shared" si="144"/>
        <v>0</v>
      </c>
      <c r="BY19" s="65">
        <f t="shared" si="145"/>
        <v>0</v>
      </c>
      <c r="BZ19" s="66">
        <f t="shared" si="146"/>
        <v>0</v>
      </c>
      <c r="CA19" s="67"/>
      <c r="CB19" s="68">
        <f t="shared" si="147"/>
        <v>0</v>
      </c>
    </row>
    <row r="20" spans="1:80" s="42" customFormat="1" ht="24" customHeight="1" x14ac:dyDescent="0.2">
      <c r="A20" s="58" t="s">
        <v>125</v>
      </c>
      <c r="B20" s="58" t="s">
        <v>153</v>
      </c>
      <c r="C20" s="59" t="s">
        <v>343</v>
      </c>
      <c r="D20" s="60" t="s">
        <v>159</v>
      </c>
      <c r="E20" s="61">
        <v>588935.40300000005</v>
      </c>
      <c r="F20" s="61">
        <f t="shared" si="102"/>
        <v>2.9103830456733704E-11</v>
      </c>
      <c r="G20" s="62">
        <f t="shared" si="103"/>
        <v>1.0075422725096388</v>
      </c>
      <c r="H20" s="63">
        <f t="shared" si="104"/>
        <v>1</v>
      </c>
      <c r="I20" s="64">
        <f>_xlfn.XLOOKUP($C20,Tb_DISTR.FIN[Nº  SS],Tb_DISTR.FIN[SET.25],"0%",0,1)</f>
        <v>0.10754227250963888</v>
      </c>
      <c r="J20" s="51">
        <f t="shared" si="148"/>
        <v>63335.4516</v>
      </c>
      <c r="K20" s="65">
        <f t="shared" ref="K20:K21" si="152">I20</f>
        <v>0.10754227250963888</v>
      </c>
      <c r="L20" s="66">
        <f t="shared" si="107"/>
        <v>63335.4516</v>
      </c>
      <c r="M20" s="67"/>
      <c r="N20" s="68">
        <v>63335.4516</v>
      </c>
      <c r="O20" s="64">
        <f>_xlfn.XLOOKUP($C20,Tb_DISTR.FIN[Nº  SS],Tb_DISTR.FIN[OUT.25],"0%",0,1)</f>
        <v>0.25</v>
      </c>
      <c r="P20" s="51">
        <f t="shared" si="108"/>
        <v>147233.85075000001</v>
      </c>
      <c r="Q20" s="65">
        <f t="shared" si="150"/>
        <v>0.25</v>
      </c>
      <c r="R20" s="66">
        <f t="shared" si="109"/>
        <v>147233.85075000001</v>
      </c>
      <c r="S20" s="67">
        <f t="shared" si="151"/>
        <v>0.25</v>
      </c>
      <c r="T20" s="68">
        <f t="shared" si="110"/>
        <v>147233.85075000001</v>
      </c>
      <c r="U20" s="64">
        <v>0.35</v>
      </c>
      <c r="V20" s="51">
        <f t="shared" si="111"/>
        <v>206127.39105000001</v>
      </c>
      <c r="W20" s="65">
        <v>0.35</v>
      </c>
      <c r="X20" s="66">
        <f t="shared" si="112"/>
        <v>206127.39105000001</v>
      </c>
      <c r="Y20" s="67">
        <v>0.35</v>
      </c>
      <c r="Z20" s="68">
        <f t="shared" si="113"/>
        <v>206127.39105000001</v>
      </c>
      <c r="AA20" s="64">
        <v>0.2</v>
      </c>
      <c r="AB20" s="51">
        <f t="shared" si="114"/>
        <v>117787.08060000002</v>
      </c>
      <c r="AC20" s="65">
        <v>0.2</v>
      </c>
      <c r="AD20" s="66">
        <f t="shared" si="115"/>
        <v>117787.08060000002</v>
      </c>
      <c r="AE20" s="67">
        <v>0.2</v>
      </c>
      <c r="AF20" s="68">
        <f t="shared" si="116"/>
        <v>117787.08060000002</v>
      </c>
      <c r="AG20" s="64">
        <v>0.1</v>
      </c>
      <c r="AH20" s="51">
        <f t="shared" si="117"/>
        <v>58893.540300000008</v>
      </c>
      <c r="AI20" s="65">
        <v>0.1</v>
      </c>
      <c r="AJ20" s="66">
        <f t="shared" si="118"/>
        <v>58893.540300000008</v>
      </c>
      <c r="AK20" s="67">
        <f>_xlfn.XLOOKUP($C20,Tb_DISTR.FIN[Nº  SS],Tb_DISTR.FIN[JAN.26],"0%",0,1)</f>
        <v>9.2457727490361075E-2</v>
      </c>
      <c r="AL20" s="68">
        <f t="shared" si="119"/>
        <v>54451.628999999986</v>
      </c>
      <c r="AM20" s="64">
        <v>0</v>
      </c>
      <c r="AN20" s="51">
        <f t="shared" si="120"/>
        <v>0</v>
      </c>
      <c r="AO20" s="65">
        <f t="shared" si="121"/>
        <v>0</v>
      </c>
      <c r="AP20" s="66">
        <f t="shared" si="122"/>
        <v>0</v>
      </c>
      <c r="AQ20" s="67"/>
      <c r="AR20" s="68">
        <f t="shared" si="123"/>
        <v>0</v>
      </c>
      <c r="AS20" s="64">
        <f>_xlfn.XLOOKUP($C20,Tb_DISTR.FIN[Nº  SS],Tb_DISTR.FIN[MAR.26],"0%",0,1)</f>
        <v>0</v>
      </c>
      <c r="AT20" s="51">
        <f t="shared" si="124"/>
        <v>0</v>
      </c>
      <c r="AU20" s="65">
        <f t="shared" si="125"/>
        <v>0</v>
      </c>
      <c r="AV20" s="66">
        <f t="shared" si="126"/>
        <v>0</v>
      </c>
      <c r="AW20" s="67"/>
      <c r="AX20" s="68">
        <f t="shared" si="127"/>
        <v>0</v>
      </c>
      <c r="AY20" s="64">
        <f>_xlfn.XLOOKUP($C20,Tb_DISTR.FIN[Nº  SS],Tb_DISTR.FIN[ABR.26],"0%",0,1)</f>
        <v>0</v>
      </c>
      <c r="AZ20" s="51">
        <f t="shared" si="128"/>
        <v>0</v>
      </c>
      <c r="BA20" s="65">
        <f t="shared" si="129"/>
        <v>0</v>
      </c>
      <c r="BB20" s="66">
        <f t="shared" si="130"/>
        <v>0</v>
      </c>
      <c r="BC20" s="67"/>
      <c r="BD20" s="68">
        <f t="shared" si="131"/>
        <v>0</v>
      </c>
      <c r="BE20" s="64">
        <f>_xlfn.XLOOKUP($C20,Tb_DISTR.FIN[Nº  SS],Tb_DISTR.FIN[MAI.26],"0%",0,1)</f>
        <v>0</v>
      </c>
      <c r="BF20" s="51">
        <f t="shared" si="132"/>
        <v>0</v>
      </c>
      <c r="BG20" s="65">
        <f t="shared" si="133"/>
        <v>0</v>
      </c>
      <c r="BH20" s="66">
        <f t="shared" si="134"/>
        <v>0</v>
      </c>
      <c r="BI20" s="67"/>
      <c r="BJ20" s="68">
        <f t="shared" si="135"/>
        <v>0</v>
      </c>
      <c r="BK20" s="64">
        <f>_xlfn.XLOOKUP($C20,Tb_DISTR.FIN[Nº  SS],Tb_DISTR.FIN[JUN.26],"0%",0,1)</f>
        <v>0</v>
      </c>
      <c r="BL20" s="51">
        <f t="shared" si="136"/>
        <v>0</v>
      </c>
      <c r="BM20" s="65">
        <f t="shared" si="137"/>
        <v>0</v>
      </c>
      <c r="BN20" s="66">
        <f t="shared" si="138"/>
        <v>0</v>
      </c>
      <c r="BO20" s="67"/>
      <c r="BP20" s="68">
        <f t="shared" si="139"/>
        <v>0</v>
      </c>
      <c r="BQ20" s="64">
        <f>_xlfn.XLOOKUP($C20,Tb_DISTR.FIN[Nº  SS],Tb_DISTR.FIN[JUL.26],"0%",0,1)</f>
        <v>0</v>
      </c>
      <c r="BR20" s="51">
        <f t="shared" si="140"/>
        <v>0</v>
      </c>
      <c r="BS20" s="65">
        <f t="shared" si="141"/>
        <v>0</v>
      </c>
      <c r="BT20" s="66">
        <f t="shared" si="142"/>
        <v>0</v>
      </c>
      <c r="BU20" s="67"/>
      <c r="BV20" s="68">
        <f t="shared" si="143"/>
        <v>0</v>
      </c>
      <c r="BW20" s="64">
        <f>_xlfn.XLOOKUP($C20,Tb_DISTR.FIN[Nº  SS],Tb_DISTR.FIN[AGO.26],"0%",0,1)</f>
        <v>0</v>
      </c>
      <c r="BX20" s="51">
        <f t="shared" si="144"/>
        <v>0</v>
      </c>
      <c r="BY20" s="65">
        <f t="shared" si="145"/>
        <v>0</v>
      </c>
      <c r="BZ20" s="66">
        <f t="shared" si="146"/>
        <v>0</v>
      </c>
      <c r="CA20" s="67"/>
      <c r="CB20" s="68">
        <f t="shared" si="147"/>
        <v>0</v>
      </c>
    </row>
    <row r="21" spans="1:80" s="42" customFormat="1" ht="24" customHeight="1" x14ac:dyDescent="0.2">
      <c r="A21" s="281" t="s">
        <v>125</v>
      </c>
      <c r="B21" s="281" t="s">
        <v>176</v>
      </c>
      <c r="C21" s="282" t="s">
        <v>173</v>
      </c>
      <c r="D21" s="283" t="s">
        <v>180</v>
      </c>
      <c r="E21" s="284">
        <v>364522.26744000003</v>
      </c>
      <c r="F21" s="284">
        <f t="shared" si="102"/>
        <v>3.9380297696989146</v>
      </c>
      <c r="G21" s="285">
        <f>IFERROR(((J21+P21+X21+AF21+AH21+AN21+AT21+AZ21+BF21+BL21+BR21+BX21)/E21),0)</f>
        <v>0.9999891967374247</v>
      </c>
      <c r="H21" s="286">
        <f t="shared" si="104"/>
        <v>0.9999891967374247</v>
      </c>
      <c r="I21" s="64">
        <f>_xlfn.XLOOKUP($C21,Tb_DISTR.FIN[Nº  SS],Tb_DISTR.FIN[SET.25],"0%",0,1)</f>
        <v>0</v>
      </c>
      <c r="J21" s="51">
        <f t="shared" si="148"/>
        <v>0</v>
      </c>
      <c r="K21" s="65">
        <f t="shared" si="152"/>
        <v>0</v>
      </c>
      <c r="L21" s="66">
        <f t="shared" si="107"/>
        <v>0</v>
      </c>
      <c r="M21" s="67"/>
      <c r="N21" s="68"/>
      <c r="O21" s="64">
        <f>_xlfn.XLOOKUP($C21,Tb_DISTR.FIN[Nº  SS],Tb_DISTR.FIN[OUT.25],"0%",0,1)</f>
        <v>9.6676913353549929E-2</v>
      </c>
      <c r="P21" s="51">
        <f t="shared" si="108"/>
        <v>35240.887664736438</v>
      </c>
      <c r="Q21" s="65">
        <f t="shared" si="150"/>
        <v>9.6676913353549929E-2</v>
      </c>
      <c r="R21" s="66">
        <f t="shared" si="109"/>
        <v>35240.887664736438</v>
      </c>
      <c r="S21" s="67">
        <f t="shared" si="151"/>
        <v>9.6676913353549929E-2</v>
      </c>
      <c r="T21" s="68">
        <f t="shared" si="110"/>
        <v>35240.887664736438</v>
      </c>
      <c r="U21" s="64">
        <f>_xlfn.XLOOKUP($C21,Tb_DISTR.FIN[Nº  SS],Tb_DISTR.FIN[NOV.25],"0%",0,1)</f>
        <v>0.24169228338387483</v>
      </c>
      <c r="V21" s="51">
        <f t="shared" si="111"/>
        <v>88102.219161841102</v>
      </c>
      <c r="W21" s="65">
        <f>_xlfn.XLOOKUP($C21,Tb_DISTR.FIN[Nº  SS],Tb_DISTR.FIN[NOV.25],"0%",0,1)</f>
        <v>0.24169228338387483</v>
      </c>
      <c r="X21" s="66">
        <f t="shared" si="112"/>
        <v>88102.219161841102</v>
      </c>
      <c r="Y21" s="67">
        <f>_xlfn.XLOOKUP($C21,Tb_DISTR.FIN[Nº  SS],Tb_DISTR.FIN[NOV.25],"0%",0,1)</f>
        <v>0.24169228338387483</v>
      </c>
      <c r="Z21" s="68">
        <f t="shared" si="113"/>
        <v>88102.219161841102</v>
      </c>
      <c r="AA21" s="64">
        <f>AB21/E21</f>
        <v>0.19335375525612089</v>
      </c>
      <c r="AB21" s="51">
        <v>70481.749284000005</v>
      </c>
      <c r="AC21" s="65">
        <v>0.19335375525612089</v>
      </c>
      <c r="AD21" s="66">
        <f t="shared" si="115"/>
        <v>70481.749284000005</v>
      </c>
      <c r="AE21" s="67">
        <v>0.56162000000000001</v>
      </c>
      <c r="AF21" s="68">
        <f t="shared" si="116"/>
        <v>204722.99583965281</v>
      </c>
      <c r="AG21" s="64">
        <v>0.1</v>
      </c>
      <c r="AH21" s="51">
        <f t="shared" si="117"/>
        <v>36452.226744000007</v>
      </c>
      <c r="AI21" s="65">
        <v>0.1</v>
      </c>
      <c r="AJ21" s="66">
        <f t="shared" si="118"/>
        <v>36452.226744000007</v>
      </c>
      <c r="AK21" s="67">
        <f>_xlfn.XLOOKUP($C21,Tb_DISTR.FIN[Nº  SS],Tb_DISTR.FIN[JAN.26],"0%",0,1)</f>
        <v>0.1</v>
      </c>
      <c r="AL21" s="68">
        <f t="shared" si="119"/>
        <v>36452.226744000007</v>
      </c>
      <c r="AM21" s="64">
        <v>0</v>
      </c>
      <c r="AN21" s="51">
        <f t="shared" si="120"/>
        <v>0</v>
      </c>
      <c r="AO21" s="65">
        <f t="shared" si="121"/>
        <v>0</v>
      </c>
      <c r="AP21" s="66">
        <f t="shared" si="122"/>
        <v>0</v>
      </c>
      <c r="AQ21" s="67"/>
      <c r="AR21" s="68">
        <f t="shared" si="123"/>
        <v>0</v>
      </c>
      <c r="AS21" s="64">
        <f>_xlfn.XLOOKUP($C21,Tb_DISTR.FIN[Nº  SS],Tb_DISTR.FIN[MAR.26],"0%",0,1)</f>
        <v>0</v>
      </c>
      <c r="AT21" s="51">
        <f t="shared" si="124"/>
        <v>0</v>
      </c>
      <c r="AU21" s="65">
        <f t="shared" si="125"/>
        <v>0</v>
      </c>
      <c r="AV21" s="66">
        <f t="shared" si="126"/>
        <v>0</v>
      </c>
      <c r="AW21" s="67"/>
      <c r="AX21" s="68">
        <f t="shared" si="127"/>
        <v>0</v>
      </c>
      <c r="AY21" s="64">
        <f>_xlfn.XLOOKUP($C21,Tb_DISTR.FIN[Nº  SS],Tb_DISTR.FIN[ABR.26],"0%",0,1)</f>
        <v>0</v>
      </c>
      <c r="AZ21" s="51">
        <f t="shared" si="128"/>
        <v>0</v>
      </c>
      <c r="BA21" s="65">
        <f t="shared" si="129"/>
        <v>0</v>
      </c>
      <c r="BB21" s="66">
        <f t="shared" si="130"/>
        <v>0</v>
      </c>
      <c r="BC21" s="67"/>
      <c r="BD21" s="68">
        <f t="shared" si="131"/>
        <v>0</v>
      </c>
      <c r="BE21" s="64">
        <f>_xlfn.XLOOKUP($C21,Tb_DISTR.FIN[Nº  SS],Tb_DISTR.FIN[MAI.26],"0%",0,1)</f>
        <v>0</v>
      </c>
      <c r="BF21" s="51">
        <f t="shared" si="132"/>
        <v>0</v>
      </c>
      <c r="BG21" s="65">
        <f t="shared" si="133"/>
        <v>0</v>
      </c>
      <c r="BH21" s="66">
        <f t="shared" si="134"/>
        <v>0</v>
      </c>
      <c r="BI21" s="67"/>
      <c r="BJ21" s="68">
        <f t="shared" si="135"/>
        <v>0</v>
      </c>
      <c r="BK21" s="64">
        <f>_xlfn.XLOOKUP($C21,Tb_DISTR.FIN[Nº  SS],Tb_DISTR.FIN[JUN.26],"0%",0,1)</f>
        <v>0</v>
      </c>
      <c r="BL21" s="51">
        <f t="shared" si="136"/>
        <v>0</v>
      </c>
      <c r="BM21" s="65">
        <f t="shared" si="137"/>
        <v>0</v>
      </c>
      <c r="BN21" s="66">
        <f t="shared" si="138"/>
        <v>0</v>
      </c>
      <c r="BO21" s="67"/>
      <c r="BP21" s="68">
        <f t="shared" si="139"/>
        <v>0</v>
      </c>
      <c r="BQ21" s="64">
        <f>_xlfn.XLOOKUP($C21,Tb_DISTR.FIN[Nº  SS],Tb_DISTR.FIN[JUL.26],"0%",0,1)</f>
        <v>0</v>
      </c>
      <c r="BR21" s="51">
        <f t="shared" si="140"/>
        <v>0</v>
      </c>
      <c r="BS21" s="65">
        <f t="shared" si="141"/>
        <v>0</v>
      </c>
      <c r="BT21" s="66">
        <f t="shared" si="142"/>
        <v>0</v>
      </c>
      <c r="BU21" s="67"/>
      <c r="BV21" s="68">
        <f t="shared" si="143"/>
        <v>0</v>
      </c>
      <c r="BW21" s="64">
        <f>_xlfn.XLOOKUP($C21,Tb_DISTR.FIN[Nº  SS],Tb_DISTR.FIN[AGO.26],"0%",0,1)</f>
        <v>0</v>
      </c>
      <c r="BX21" s="51">
        <f t="shared" si="144"/>
        <v>0</v>
      </c>
      <c r="BY21" s="65">
        <f t="shared" si="145"/>
        <v>0</v>
      </c>
      <c r="BZ21" s="66">
        <f t="shared" si="146"/>
        <v>0</v>
      </c>
      <c r="CA21" s="67"/>
      <c r="CB21" s="68">
        <f t="shared" si="147"/>
        <v>0</v>
      </c>
    </row>
    <row r="22" spans="1:80" s="42" customFormat="1" ht="24" customHeight="1" x14ac:dyDescent="0.2">
      <c r="A22" s="287" t="s">
        <v>125</v>
      </c>
      <c r="B22" s="288" t="s">
        <v>154</v>
      </c>
      <c r="C22" s="289" t="s">
        <v>147</v>
      </c>
      <c r="D22" s="290" t="s">
        <v>160</v>
      </c>
      <c r="E22" s="291">
        <v>718931.28384000005</v>
      </c>
      <c r="F22" s="291">
        <f t="shared" si="102"/>
        <v>1.1872800000710413</v>
      </c>
      <c r="G22" s="292">
        <f t="shared" si="103"/>
        <v>1.0075425083563436</v>
      </c>
      <c r="H22" s="293">
        <f t="shared" si="104"/>
        <v>0.99999834854870451</v>
      </c>
      <c r="I22" s="64">
        <f>_xlfn.XLOOKUP($C22,Tb_DISTR.FIN[Nº  SS],Tb_DISTR.FIN[SET.25],"0%",0,1)</f>
        <v>0.10754250835634356</v>
      </c>
      <c r="J22" s="51">
        <f t="shared" si="148"/>
        <v>77315.673600000009</v>
      </c>
      <c r="K22" s="65">
        <f t="shared" ref="K22:K27" si="153">I22</f>
        <v>0.10754250835634356</v>
      </c>
      <c r="L22" s="66">
        <f t="shared" si="107"/>
        <v>77315.673600000009</v>
      </c>
      <c r="M22" s="67"/>
      <c r="N22" s="68">
        <v>77315.673600000009</v>
      </c>
      <c r="O22" s="64">
        <f>_xlfn.XLOOKUP($C22,Tb_DISTR.FIN[Nº  SS],Tb_DISTR.FIN[OUT.25],"0%",0,1)</f>
        <v>0.5</v>
      </c>
      <c r="P22" s="51">
        <f t="shared" si="108"/>
        <v>359465.64192000002</v>
      </c>
      <c r="Q22" s="65">
        <f t="shared" si="150"/>
        <v>0.5</v>
      </c>
      <c r="R22" s="66">
        <f t="shared" si="109"/>
        <v>359465.64192000002</v>
      </c>
      <c r="S22" s="67">
        <f t="shared" si="151"/>
        <v>0.5</v>
      </c>
      <c r="T22" s="68">
        <f t="shared" si="110"/>
        <v>359465.64192000002</v>
      </c>
      <c r="U22" s="64">
        <v>0.4</v>
      </c>
      <c r="V22" s="51">
        <f t="shared" si="111"/>
        <v>287572.51353600004</v>
      </c>
      <c r="W22" s="65">
        <v>0.4</v>
      </c>
      <c r="X22" s="66">
        <f t="shared" si="112"/>
        <v>287572.51353600004</v>
      </c>
      <c r="Y22" s="67">
        <v>0.4</v>
      </c>
      <c r="Z22" s="68">
        <v>282148.78103999997</v>
      </c>
      <c r="AA22" s="64">
        <v>0</v>
      </c>
      <c r="AB22" s="51">
        <f t="shared" si="114"/>
        <v>0</v>
      </c>
      <c r="AC22" s="65">
        <f>_xlfn.XLOOKUP($C22,Tb_DISTR.FIN[Nº  SS],Tb_DISTR.FIN[DEZ.25],"0%",0,1)</f>
        <v>0</v>
      </c>
      <c r="AD22" s="66">
        <f t="shared" si="115"/>
        <v>0</v>
      </c>
      <c r="AE22" s="67"/>
      <c r="AF22" s="68">
        <f t="shared" si="116"/>
        <v>0</v>
      </c>
      <c r="AG22" s="64">
        <v>0</v>
      </c>
      <c r="AH22" s="51">
        <f t="shared" si="117"/>
        <v>0</v>
      </c>
      <c r="AI22" s="65">
        <v>0</v>
      </c>
      <c r="AJ22" s="66">
        <f t="shared" si="118"/>
        <v>0</v>
      </c>
      <c r="AK22" s="67">
        <f>_xlfn.XLOOKUP($C22,Tb_DISTR.FIN[Nº  SS],Tb_DISTR.FIN[JAN.26],"0%",0,1)</f>
        <v>0</v>
      </c>
      <c r="AL22" s="68">
        <f t="shared" si="119"/>
        <v>0</v>
      </c>
      <c r="AM22" s="64">
        <v>0</v>
      </c>
      <c r="AN22" s="51">
        <f t="shared" si="120"/>
        <v>0</v>
      </c>
      <c r="AO22" s="65">
        <f t="shared" si="121"/>
        <v>0</v>
      </c>
      <c r="AP22" s="66">
        <f t="shared" si="122"/>
        <v>0</v>
      </c>
      <c r="AQ22" s="67"/>
      <c r="AR22" s="68">
        <f t="shared" si="123"/>
        <v>0</v>
      </c>
      <c r="AS22" s="64">
        <f>_xlfn.XLOOKUP($C22,Tb_DISTR.FIN[Nº  SS],Tb_DISTR.FIN[MAR.26],"0%",0,1)</f>
        <v>0</v>
      </c>
      <c r="AT22" s="51">
        <f t="shared" si="124"/>
        <v>0</v>
      </c>
      <c r="AU22" s="65">
        <f t="shared" si="125"/>
        <v>0</v>
      </c>
      <c r="AV22" s="66">
        <f t="shared" si="126"/>
        <v>0</v>
      </c>
      <c r="AW22" s="67"/>
      <c r="AX22" s="68">
        <f t="shared" si="127"/>
        <v>0</v>
      </c>
      <c r="AY22" s="64">
        <f>_xlfn.XLOOKUP($C22,Tb_DISTR.FIN[Nº  SS],Tb_DISTR.FIN[ABR.26],"0%",0,1)</f>
        <v>0</v>
      </c>
      <c r="AZ22" s="51">
        <f t="shared" si="128"/>
        <v>0</v>
      </c>
      <c r="BA22" s="65">
        <f t="shared" si="129"/>
        <v>0</v>
      </c>
      <c r="BB22" s="66">
        <f t="shared" si="130"/>
        <v>0</v>
      </c>
      <c r="BC22" s="67"/>
      <c r="BD22" s="68">
        <f t="shared" si="131"/>
        <v>0</v>
      </c>
      <c r="BE22" s="64">
        <f>_xlfn.XLOOKUP($C22,Tb_DISTR.FIN[Nº  SS],Tb_DISTR.FIN[MAI.26],"0%",0,1)</f>
        <v>0</v>
      </c>
      <c r="BF22" s="51">
        <f t="shared" si="132"/>
        <v>0</v>
      </c>
      <c r="BG22" s="65">
        <f t="shared" si="133"/>
        <v>0</v>
      </c>
      <c r="BH22" s="66">
        <f t="shared" si="134"/>
        <v>0</v>
      </c>
      <c r="BI22" s="67"/>
      <c r="BJ22" s="68">
        <f t="shared" si="135"/>
        <v>0</v>
      </c>
      <c r="BK22" s="64">
        <f>_xlfn.XLOOKUP($C22,Tb_DISTR.FIN[Nº  SS],Tb_DISTR.FIN[JUN.26],"0%",0,1)</f>
        <v>0</v>
      </c>
      <c r="BL22" s="51">
        <f t="shared" si="136"/>
        <v>0</v>
      </c>
      <c r="BM22" s="65">
        <f t="shared" si="137"/>
        <v>0</v>
      </c>
      <c r="BN22" s="66">
        <f t="shared" si="138"/>
        <v>0</v>
      </c>
      <c r="BO22" s="67"/>
      <c r="BP22" s="68">
        <f t="shared" si="139"/>
        <v>0</v>
      </c>
      <c r="BQ22" s="64">
        <f>_xlfn.XLOOKUP($C22,Tb_DISTR.FIN[Nº  SS],Tb_DISTR.FIN[JUL.26],"0%",0,1)</f>
        <v>0</v>
      </c>
      <c r="BR22" s="51">
        <f t="shared" si="140"/>
        <v>0</v>
      </c>
      <c r="BS22" s="65">
        <f t="shared" si="141"/>
        <v>0</v>
      </c>
      <c r="BT22" s="66">
        <f t="shared" si="142"/>
        <v>0</v>
      </c>
      <c r="BU22" s="67"/>
      <c r="BV22" s="68">
        <f t="shared" si="143"/>
        <v>0</v>
      </c>
      <c r="BW22" s="64">
        <f>_xlfn.XLOOKUP($C22,Tb_DISTR.FIN[Nº  SS],Tb_DISTR.FIN[AGO.26],"0%",0,1)</f>
        <v>0</v>
      </c>
      <c r="BX22" s="51">
        <f t="shared" si="144"/>
        <v>0</v>
      </c>
      <c r="BY22" s="65">
        <f t="shared" si="145"/>
        <v>0</v>
      </c>
      <c r="BZ22" s="66">
        <f t="shared" si="146"/>
        <v>0</v>
      </c>
      <c r="CA22" s="67"/>
      <c r="CB22" s="68">
        <f t="shared" si="147"/>
        <v>0</v>
      </c>
    </row>
    <row r="23" spans="1:80" s="42" customFormat="1" ht="24" customHeight="1" x14ac:dyDescent="0.2">
      <c r="A23" s="58" t="s">
        <v>125</v>
      </c>
      <c r="B23" s="58" t="s">
        <v>155</v>
      </c>
      <c r="C23" s="59" t="s">
        <v>148</v>
      </c>
      <c r="D23" s="60" t="s">
        <v>161</v>
      </c>
      <c r="E23" s="61">
        <v>1144868.57748</v>
      </c>
      <c r="F23" s="61">
        <f t="shared" si="102"/>
        <v>686921.14648799994</v>
      </c>
      <c r="G23" s="62">
        <f t="shared" si="103"/>
        <v>1</v>
      </c>
      <c r="H23" s="63">
        <f t="shared" si="104"/>
        <v>0.4</v>
      </c>
      <c r="I23" s="64">
        <f>_xlfn.XLOOKUP($C23,Tb_DISTR.FIN[Nº  SS],Tb_DISTR.FIN[SET.25],"0%",0,1)</f>
        <v>0</v>
      </c>
      <c r="J23" s="51">
        <f t="shared" si="148"/>
        <v>0</v>
      </c>
      <c r="K23" s="65">
        <f t="shared" si="153"/>
        <v>0</v>
      </c>
      <c r="L23" s="66">
        <f t="shared" si="107"/>
        <v>0</v>
      </c>
      <c r="M23" s="67"/>
      <c r="N23" s="68"/>
      <c r="O23" s="64">
        <f>_xlfn.XLOOKUP($C23,Tb_DISTR.FIN[Nº  SS],Tb_DISTR.FIN[OUT.25],"0%",0,1)</f>
        <v>0.1</v>
      </c>
      <c r="P23" s="51">
        <f t="shared" si="108"/>
        <v>114486.85774800001</v>
      </c>
      <c r="Q23" s="65">
        <f t="shared" si="150"/>
        <v>0.1</v>
      </c>
      <c r="R23" s="66">
        <f t="shared" si="109"/>
        <v>114486.85774800001</v>
      </c>
      <c r="S23" s="67">
        <f t="shared" si="151"/>
        <v>0.1</v>
      </c>
      <c r="T23" s="68">
        <f t="shared" si="110"/>
        <v>114486.85774800001</v>
      </c>
      <c r="U23" s="64">
        <v>0.2</v>
      </c>
      <c r="V23" s="51">
        <f t="shared" si="111"/>
        <v>228973.71549600002</v>
      </c>
      <c r="W23" s="65">
        <v>0.2</v>
      </c>
      <c r="X23" s="66">
        <f t="shared" si="112"/>
        <v>228973.71549600002</v>
      </c>
      <c r="Y23" s="67">
        <v>0.2</v>
      </c>
      <c r="Z23" s="68">
        <f t="shared" si="113"/>
        <v>228973.71549600002</v>
      </c>
      <c r="AA23" s="64">
        <v>0</v>
      </c>
      <c r="AB23" s="51">
        <f t="shared" si="114"/>
        <v>0</v>
      </c>
      <c r="AC23" s="65">
        <f>_xlfn.XLOOKUP($C23,Tb_DISTR.FIN[Nº  SS],Tb_DISTR.FIN[DEZ.25],"0%",0,1)</f>
        <v>0</v>
      </c>
      <c r="AD23" s="66">
        <f t="shared" si="115"/>
        <v>0</v>
      </c>
      <c r="AE23" s="67"/>
      <c r="AF23" s="68">
        <f t="shared" si="116"/>
        <v>0</v>
      </c>
      <c r="AG23" s="64">
        <v>0.1</v>
      </c>
      <c r="AH23" s="51">
        <f t="shared" si="117"/>
        <v>114486.85774800001</v>
      </c>
      <c r="AI23" s="65">
        <v>0.1</v>
      </c>
      <c r="AJ23" s="66">
        <f t="shared" si="118"/>
        <v>114486.85774800001</v>
      </c>
      <c r="AK23" s="67">
        <f>_xlfn.XLOOKUP($C23,Tb_DISTR.FIN[Nº  SS],Tb_DISTR.FIN[JAN.26],"0%",0,1)</f>
        <v>0.1</v>
      </c>
      <c r="AL23" s="68">
        <f t="shared" si="119"/>
        <v>114486.85774800001</v>
      </c>
      <c r="AM23" s="64">
        <v>0</v>
      </c>
      <c r="AN23" s="51">
        <f t="shared" si="120"/>
        <v>0</v>
      </c>
      <c r="AO23" s="65">
        <f t="shared" si="121"/>
        <v>0</v>
      </c>
      <c r="AP23" s="66">
        <f t="shared" si="122"/>
        <v>0</v>
      </c>
      <c r="AQ23" s="67"/>
      <c r="AR23" s="68">
        <f t="shared" si="123"/>
        <v>0</v>
      </c>
      <c r="AS23" s="64">
        <f>_xlfn.XLOOKUP($C23,Tb_DISTR.FIN[Nº  SS],Tb_DISTR.FIN[MAR.26],"0%",0,1)</f>
        <v>0.6</v>
      </c>
      <c r="AT23" s="51">
        <f t="shared" si="124"/>
        <v>686921.14648799994</v>
      </c>
      <c r="AU23" s="65">
        <f t="shared" si="125"/>
        <v>0.6</v>
      </c>
      <c r="AV23" s="66">
        <f t="shared" si="126"/>
        <v>686921.14648799994</v>
      </c>
      <c r="AW23" s="67"/>
      <c r="AX23" s="68">
        <f t="shared" si="127"/>
        <v>0</v>
      </c>
      <c r="AY23" s="64">
        <f>_xlfn.XLOOKUP($C23,Tb_DISTR.FIN[Nº  SS],Tb_DISTR.FIN[ABR.26],"0%",0,1)</f>
        <v>0</v>
      </c>
      <c r="AZ23" s="51">
        <f t="shared" si="128"/>
        <v>0</v>
      </c>
      <c r="BA23" s="65">
        <f t="shared" si="129"/>
        <v>0</v>
      </c>
      <c r="BB23" s="66">
        <f t="shared" si="130"/>
        <v>0</v>
      </c>
      <c r="BC23" s="67"/>
      <c r="BD23" s="68">
        <f t="shared" si="131"/>
        <v>0</v>
      </c>
      <c r="BE23" s="64">
        <f>_xlfn.XLOOKUP($C23,Tb_DISTR.FIN[Nº  SS],Tb_DISTR.FIN[MAI.26],"0%",0,1)</f>
        <v>0</v>
      </c>
      <c r="BF23" s="51">
        <f t="shared" si="132"/>
        <v>0</v>
      </c>
      <c r="BG23" s="65">
        <f t="shared" si="133"/>
        <v>0</v>
      </c>
      <c r="BH23" s="66">
        <f t="shared" si="134"/>
        <v>0</v>
      </c>
      <c r="BI23" s="67"/>
      <c r="BJ23" s="68">
        <f t="shared" si="135"/>
        <v>0</v>
      </c>
      <c r="BK23" s="64">
        <f>_xlfn.XLOOKUP($C23,Tb_DISTR.FIN[Nº  SS],Tb_DISTR.FIN[JUN.26],"0%",0,1)</f>
        <v>0</v>
      </c>
      <c r="BL23" s="51">
        <f t="shared" si="136"/>
        <v>0</v>
      </c>
      <c r="BM23" s="65">
        <f t="shared" si="137"/>
        <v>0</v>
      </c>
      <c r="BN23" s="66">
        <f t="shared" si="138"/>
        <v>0</v>
      </c>
      <c r="BO23" s="67"/>
      <c r="BP23" s="68">
        <f t="shared" si="139"/>
        <v>0</v>
      </c>
      <c r="BQ23" s="64">
        <f>_xlfn.XLOOKUP($C23,Tb_DISTR.FIN[Nº  SS],Tb_DISTR.FIN[JUL.26],"0%",0,1)</f>
        <v>0</v>
      </c>
      <c r="BR23" s="51">
        <f t="shared" si="140"/>
        <v>0</v>
      </c>
      <c r="BS23" s="65">
        <f t="shared" si="141"/>
        <v>0</v>
      </c>
      <c r="BT23" s="66">
        <f t="shared" si="142"/>
        <v>0</v>
      </c>
      <c r="BU23" s="67"/>
      <c r="BV23" s="68">
        <f t="shared" si="143"/>
        <v>0</v>
      </c>
      <c r="BW23" s="64">
        <f>_xlfn.XLOOKUP($C23,Tb_DISTR.FIN[Nº  SS],Tb_DISTR.FIN[AGO.26],"0%",0,1)</f>
        <v>0</v>
      </c>
      <c r="BX23" s="51">
        <f t="shared" si="144"/>
        <v>0</v>
      </c>
      <c r="BY23" s="65">
        <f t="shared" si="145"/>
        <v>0</v>
      </c>
      <c r="BZ23" s="66">
        <f t="shared" si="146"/>
        <v>0</v>
      </c>
      <c r="CA23" s="67"/>
      <c r="CB23" s="68">
        <f t="shared" si="147"/>
        <v>0</v>
      </c>
    </row>
    <row r="24" spans="1:80" s="42" customFormat="1" ht="24" customHeight="1" x14ac:dyDescent="0.2">
      <c r="A24" s="221" t="s">
        <v>125</v>
      </c>
      <c r="B24" s="221" t="s">
        <v>177</v>
      </c>
      <c r="C24" s="222" t="s">
        <v>174</v>
      </c>
      <c r="D24" s="223" t="s">
        <v>181</v>
      </c>
      <c r="E24" s="224">
        <v>196612.97435999999</v>
      </c>
      <c r="F24" s="61">
        <f t="shared" si="102"/>
        <v>0</v>
      </c>
      <c r="G24" s="62">
        <f>IFERROR(((J24+P24+X24+AF24+AH24+AN24+AT24+AZ24+BF24+BL24+BR24+BX24)/E24),0)</f>
        <v>1.4500000000000002</v>
      </c>
      <c r="H24" s="63">
        <f t="shared" si="104"/>
        <v>1</v>
      </c>
      <c r="I24" s="64">
        <f>_xlfn.XLOOKUP($C24,Tb_DISTR.FIN[Nº  SS],Tb_DISTR.FIN[SET.25],"0%",0,1)</f>
        <v>0</v>
      </c>
      <c r="J24" s="51">
        <f t="shared" si="148"/>
        <v>0</v>
      </c>
      <c r="K24" s="65">
        <f t="shared" si="153"/>
        <v>0</v>
      </c>
      <c r="L24" s="66">
        <f t="shared" si="107"/>
        <v>0</v>
      </c>
      <c r="M24" s="67"/>
      <c r="N24" s="227"/>
      <c r="O24" s="64">
        <f>_xlfn.XLOOKUP($C24,Tb_DISTR.FIN[Nº  SS],Tb_DISTR.FIN[OUT.25],"0%",0,1)</f>
        <v>0</v>
      </c>
      <c r="P24" s="51">
        <f t="shared" si="108"/>
        <v>0</v>
      </c>
      <c r="Q24" s="65">
        <f t="shared" si="150"/>
        <v>0</v>
      </c>
      <c r="R24" s="66">
        <f t="shared" si="109"/>
        <v>0</v>
      </c>
      <c r="S24" s="67">
        <f t="shared" si="151"/>
        <v>0</v>
      </c>
      <c r="T24" s="227">
        <f t="shared" si="110"/>
        <v>0</v>
      </c>
      <c r="U24" s="64">
        <v>0.30000000000000004</v>
      </c>
      <c r="V24" s="51">
        <f t="shared" si="111"/>
        <v>58983.89230800001</v>
      </c>
      <c r="W24" s="65">
        <v>0.30000000000000004</v>
      </c>
      <c r="X24" s="66">
        <f t="shared" si="112"/>
        <v>58983.89230800001</v>
      </c>
      <c r="Y24" s="67">
        <v>0.3</v>
      </c>
      <c r="Z24" s="227">
        <f t="shared" si="113"/>
        <v>58983.892307999995</v>
      </c>
      <c r="AA24" s="64">
        <v>0.15</v>
      </c>
      <c r="AB24" s="51">
        <f t="shared" si="114"/>
        <v>29491.946153999997</v>
      </c>
      <c r="AC24" s="65">
        <v>0.15</v>
      </c>
      <c r="AD24" s="66">
        <f t="shared" si="115"/>
        <v>29491.946153999997</v>
      </c>
      <c r="AE24" s="67"/>
      <c r="AF24" s="227">
        <f t="shared" si="116"/>
        <v>0</v>
      </c>
      <c r="AG24" s="64">
        <v>0.44999999999999996</v>
      </c>
      <c r="AH24" s="51">
        <f t="shared" si="117"/>
        <v>88475.838461999985</v>
      </c>
      <c r="AI24" s="65">
        <v>0.44999999999999996</v>
      </c>
      <c r="AJ24" s="66">
        <f t="shared" si="118"/>
        <v>88475.838461999985</v>
      </c>
      <c r="AK24" s="67">
        <f>_xlfn.XLOOKUP($C24,Tb_DISTR.FIN[Nº  SS],Tb_DISTR.FIN[JAN.26],"0%",0,1)</f>
        <v>0</v>
      </c>
      <c r="AL24" s="227">
        <f t="shared" si="119"/>
        <v>0</v>
      </c>
      <c r="AM24" s="64">
        <v>0.7</v>
      </c>
      <c r="AN24" s="51">
        <f t="shared" si="120"/>
        <v>137629.08205199998</v>
      </c>
      <c r="AO24" s="65">
        <f t="shared" si="121"/>
        <v>0.7</v>
      </c>
      <c r="AP24" s="66">
        <f t="shared" si="122"/>
        <v>137629.08205199998</v>
      </c>
      <c r="AQ24" s="67">
        <v>0.7</v>
      </c>
      <c r="AR24" s="227">
        <f t="shared" si="123"/>
        <v>137629.08205199998</v>
      </c>
      <c r="AS24" s="64">
        <f>_xlfn.XLOOKUP($C24,Tb_DISTR.FIN[Nº  SS],Tb_DISTR.FIN[MAR.26],"0%",0,1)</f>
        <v>0</v>
      </c>
      <c r="AT24" s="51">
        <f t="shared" si="124"/>
        <v>0</v>
      </c>
      <c r="AU24" s="65">
        <f t="shared" si="125"/>
        <v>0</v>
      </c>
      <c r="AV24" s="66">
        <f t="shared" si="126"/>
        <v>0</v>
      </c>
      <c r="AW24" s="67"/>
      <c r="AX24" s="227">
        <f t="shared" si="127"/>
        <v>0</v>
      </c>
      <c r="AY24" s="64">
        <f>_xlfn.XLOOKUP($C24,Tb_DISTR.FIN[Nº  SS],Tb_DISTR.FIN[ABR.26],"0%",0,1)</f>
        <v>0</v>
      </c>
      <c r="AZ24" s="51">
        <f t="shared" si="128"/>
        <v>0</v>
      </c>
      <c r="BA24" s="65">
        <f t="shared" si="129"/>
        <v>0</v>
      </c>
      <c r="BB24" s="66">
        <f t="shared" si="130"/>
        <v>0</v>
      </c>
      <c r="BC24" s="67"/>
      <c r="BD24" s="227">
        <f t="shared" si="131"/>
        <v>0</v>
      </c>
      <c r="BE24" s="64">
        <f>_xlfn.XLOOKUP($C24,Tb_DISTR.FIN[Nº  SS],Tb_DISTR.FIN[MAI.26],"0%",0,1)</f>
        <v>0</v>
      </c>
      <c r="BF24" s="51">
        <f t="shared" si="132"/>
        <v>0</v>
      </c>
      <c r="BG24" s="65">
        <f t="shared" si="133"/>
        <v>0</v>
      </c>
      <c r="BH24" s="66">
        <f t="shared" si="134"/>
        <v>0</v>
      </c>
      <c r="BI24" s="67"/>
      <c r="BJ24" s="227">
        <f t="shared" si="135"/>
        <v>0</v>
      </c>
      <c r="BK24" s="64">
        <f>_xlfn.XLOOKUP($C24,Tb_DISTR.FIN[Nº  SS],Tb_DISTR.FIN[JUN.26],"0%",0,1)</f>
        <v>0</v>
      </c>
      <c r="BL24" s="51">
        <f t="shared" si="136"/>
        <v>0</v>
      </c>
      <c r="BM24" s="65">
        <f t="shared" si="137"/>
        <v>0</v>
      </c>
      <c r="BN24" s="66">
        <f t="shared" si="138"/>
        <v>0</v>
      </c>
      <c r="BO24" s="67"/>
      <c r="BP24" s="227">
        <f t="shared" si="139"/>
        <v>0</v>
      </c>
      <c r="BQ24" s="64">
        <f>_xlfn.XLOOKUP($C24,Tb_DISTR.FIN[Nº  SS],Tb_DISTR.FIN[JUL.26],"0%",0,1)</f>
        <v>0</v>
      </c>
      <c r="BR24" s="51">
        <f t="shared" si="140"/>
        <v>0</v>
      </c>
      <c r="BS24" s="65">
        <f t="shared" si="141"/>
        <v>0</v>
      </c>
      <c r="BT24" s="66">
        <f t="shared" si="142"/>
        <v>0</v>
      </c>
      <c r="BU24" s="67"/>
      <c r="BV24" s="227">
        <f t="shared" si="143"/>
        <v>0</v>
      </c>
      <c r="BW24" s="64">
        <f>_xlfn.XLOOKUP($C24,Tb_DISTR.FIN[Nº  SS],Tb_DISTR.FIN[AGO.26],"0%",0,1)</f>
        <v>0</v>
      </c>
      <c r="BX24" s="51">
        <f t="shared" si="144"/>
        <v>0</v>
      </c>
      <c r="BY24" s="65">
        <f t="shared" si="145"/>
        <v>0</v>
      </c>
      <c r="BZ24" s="66">
        <f t="shared" si="146"/>
        <v>0</v>
      </c>
      <c r="CA24" s="67"/>
      <c r="CB24" s="227">
        <f t="shared" si="147"/>
        <v>0</v>
      </c>
    </row>
    <row r="25" spans="1:80" s="42" customFormat="1" ht="24" customHeight="1" x14ac:dyDescent="0.2">
      <c r="A25" s="58" t="s">
        <v>125</v>
      </c>
      <c r="B25" s="58" t="s">
        <v>155</v>
      </c>
      <c r="C25" s="59" t="s">
        <v>191</v>
      </c>
      <c r="D25" s="60" t="s">
        <v>198</v>
      </c>
      <c r="E25" s="61">
        <v>9891.24933423312</v>
      </c>
      <c r="F25" s="61">
        <f t="shared" si="102"/>
        <v>-5.1515683652269217E-2</v>
      </c>
      <c r="G25" s="62">
        <f>IFERROR(((J25+P25+Z25+AF25+AH25+AN25+AT25+AZ25+BF25+BL25+BR25+BX25)/E25),0)</f>
        <v>1.0000052082079736</v>
      </c>
      <c r="H25" s="63">
        <f t="shared" si="104"/>
        <v>1.0000052082079736</v>
      </c>
      <c r="I25" s="64">
        <f>_xlfn.XLOOKUP($C25,Tb_DISTR.FIN[Nº  SS],Tb_DISTR.FIN[SET.25],"0%",0,1)</f>
        <v>0</v>
      </c>
      <c r="J25" s="51">
        <f t="shared" si="148"/>
        <v>0</v>
      </c>
      <c r="K25" s="65">
        <f t="shared" si="153"/>
        <v>0</v>
      </c>
      <c r="L25" s="66">
        <f t="shared" si="107"/>
        <v>0</v>
      </c>
      <c r="M25" s="67"/>
      <c r="N25" s="68"/>
      <c r="O25" s="64">
        <f>_xlfn.XLOOKUP($C25,Tb_DISTR.FIN[Nº  SS],Tb_DISTR.FIN[OUT.25],"0%",0,1)</f>
        <v>0</v>
      </c>
      <c r="P25" s="51">
        <f t="shared" si="108"/>
        <v>0</v>
      </c>
      <c r="Q25" s="65">
        <f t="shared" si="150"/>
        <v>0</v>
      </c>
      <c r="R25" s="66">
        <f t="shared" si="109"/>
        <v>0</v>
      </c>
      <c r="S25" s="67">
        <f t="shared" si="151"/>
        <v>0</v>
      </c>
      <c r="T25" s="68">
        <f t="shared" si="110"/>
        <v>0</v>
      </c>
      <c r="U25" s="64">
        <v>0.60000000000000009</v>
      </c>
      <c r="V25" s="51">
        <f t="shared" si="111"/>
        <v>5934.7496005398725</v>
      </c>
      <c r="W25" s="65">
        <v>0.60000000000000009</v>
      </c>
      <c r="X25" s="66">
        <f t="shared" si="112"/>
        <v>5934.7496005398725</v>
      </c>
      <c r="Y25" s="67">
        <f>_xlfn.XLOOKUP($C25,Tb_DISTR.FIN[Nº  SS],Tb_DISTR.FIN[NOV.25],"0%",0,1)</f>
        <v>0.34753041641594751</v>
      </c>
      <c r="Z25" s="227">
        <f t="shared" si="113"/>
        <v>3437.5099999999998</v>
      </c>
      <c r="AA25" s="64">
        <v>0.4</v>
      </c>
      <c r="AB25" s="51">
        <f t="shared" si="114"/>
        <v>3956.4997336932483</v>
      </c>
      <c r="AC25" s="65">
        <f>_xlfn.XLOOKUP($C25,Tb_DISTR.FIN[Nº  SS],Tb_DISTR.FIN[DEZ.25],"0%",0,1)</f>
        <v>0.32623479179202619</v>
      </c>
      <c r="AD25" s="66">
        <f t="shared" si="115"/>
        <v>3226.8696671165594</v>
      </c>
      <c r="AE25" s="67">
        <v>0.32623999999999997</v>
      </c>
      <c r="AF25" s="68">
        <f t="shared" si="116"/>
        <v>3226.9211828002126</v>
      </c>
      <c r="AG25" s="64">
        <v>0.32623479179202619</v>
      </c>
      <c r="AH25" s="51">
        <f t="shared" si="117"/>
        <v>3226.8696671165594</v>
      </c>
      <c r="AI25" s="65">
        <v>0.32623479179202619</v>
      </c>
      <c r="AJ25" s="66">
        <f t="shared" si="118"/>
        <v>3226.8696671165594</v>
      </c>
      <c r="AK25" s="67">
        <f>_xlfn.XLOOKUP($C25,Tb_DISTR.FIN[Nº  SS],Tb_DISTR.FIN[JAN.26],"0%",0,1)</f>
        <v>0.32623479179202619</v>
      </c>
      <c r="AL25" s="68">
        <f t="shared" si="119"/>
        <v>3226.8696671165594</v>
      </c>
      <c r="AM25" s="64">
        <v>0</v>
      </c>
      <c r="AN25" s="51">
        <f t="shared" si="120"/>
        <v>0</v>
      </c>
      <c r="AO25" s="65">
        <f t="shared" si="121"/>
        <v>0</v>
      </c>
      <c r="AP25" s="66">
        <f t="shared" si="122"/>
        <v>0</v>
      </c>
      <c r="AQ25" s="67"/>
      <c r="AR25" s="68">
        <f t="shared" si="123"/>
        <v>0</v>
      </c>
      <c r="AS25" s="64">
        <f>_xlfn.XLOOKUP($C25,Tb_DISTR.FIN[Nº  SS],Tb_DISTR.FIN[MAR.26],"0%",0,1)</f>
        <v>0</v>
      </c>
      <c r="AT25" s="51">
        <f t="shared" si="124"/>
        <v>0</v>
      </c>
      <c r="AU25" s="65">
        <f t="shared" si="125"/>
        <v>0</v>
      </c>
      <c r="AV25" s="66">
        <f t="shared" si="126"/>
        <v>0</v>
      </c>
      <c r="AW25" s="67"/>
      <c r="AX25" s="68">
        <f t="shared" si="127"/>
        <v>0</v>
      </c>
      <c r="AY25" s="64">
        <f>_xlfn.XLOOKUP($C25,Tb_DISTR.FIN[Nº  SS],Tb_DISTR.FIN[ABR.26],"0%",0,1)</f>
        <v>0</v>
      </c>
      <c r="AZ25" s="51">
        <f t="shared" si="128"/>
        <v>0</v>
      </c>
      <c r="BA25" s="65">
        <f t="shared" si="129"/>
        <v>0</v>
      </c>
      <c r="BB25" s="66">
        <f t="shared" si="130"/>
        <v>0</v>
      </c>
      <c r="BC25" s="67"/>
      <c r="BD25" s="68">
        <f t="shared" si="131"/>
        <v>0</v>
      </c>
      <c r="BE25" s="64">
        <f>_xlfn.XLOOKUP($C25,Tb_DISTR.FIN[Nº  SS],Tb_DISTR.FIN[MAI.26],"0%",0,1)</f>
        <v>0</v>
      </c>
      <c r="BF25" s="51">
        <f t="shared" si="132"/>
        <v>0</v>
      </c>
      <c r="BG25" s="65">
        <f t="shared" si="133"/>
        <v>0</v>
      </c>
      <c r="BH25" s="66">
        <f t="shared" si="134"/>
        <v>0</v>
      </c>
      <c r="BI25" s="67"/>
      <c r="BJ25" s="68">
        <f t="shared" si="135"/>
        <v>0</v>
      </c>
      <c r="BK25" s="64">
        <f>_xlfn.XLOOKUP($C25,Tb_DISTR.FIN[Nº  SS],Tb_DISTR.FIN[JUN.26],"0%",0,1)</f>
        <v>0</v>
      </c>
      <c r="BL25" s="51">
        <f t="shared" si="136"/>
        <v>0</v>
      </c>
      <c r="BM25" s="65">
        <f t="shared" si="137"/>
        <v>0</v>
      </c>
      <c r="BN25" s="66">
        <f t="shared" si="138"/>
        <v>0</v>
      </c>
      <c r="BO25" s="67"/>
      <c r="BP25" s="68">
        <f t="shared" si="139"/>
        <v>0</v>
      </c>
      <c r="BQ25" s="64">
        <f>_xlfn.XLOOKUP($C25,Tb_DISTR.FIN[Nº  SS],Tb_DISTR.FIN[JUL.26],"0%",0,1)</f>
        <v>0</v>
      </c>
      <c r="BR25" s="51">
        <f t="shared" si="140"/>
        <v>0</v>
      </c>
      <c r="BS25" s="65">
        <f t="shared" si="141"/>
        <v>0</v>
      </c>
      <c r="BT25" s="66">
        <f t="shared" si="142"/>
        <v>0</v>
      </c>
      <c r="BU25" s="67"/>
      <c r="BV25" s="68">
        <f t="shared" si="143"/>
        <v>0</v>
      </c>
      <c r="BW25" s="64">
        <f>_xlfn.XLOOKUP($C25,Tb_DISTR.FIN[Nº  SS],Tb_DISTR.FIN[AGO.26],"0%",0,1)</f>
        <v>0</v>
      </c>
      <c r="BX25" s="51">
        <f t="shared" si="144"/>
        <v>0</v>
      </c>
      <c r="BY25" s="65">
        <f t="shared" si="145"/>
        <v>0</v>
      </c>
      <c r="BZ25" s="66">
        <f t="shared" si="146"/>
        <v>0</v>
      </c>
      <c r="CA25" s="67"/>
      <c r="CB25" s="68">
        <f t="shared" si="147"/>
        <v>0</v>
      </c>
    </row>
    <row r="26" spans="1:80" s="56" customFormat="1" ht="24" customHeight="1" x14ac:dyDescent="0.2">
      <c r="A26" s="44" t="s">
        <v>125</v>
      </c>
      <c r="B26" s="44" t="s">
        <v>155</v>
      </c>
      <c r="C26" s="45" t="s">
        <v>192</v>
      </c>
      <c r="D26" s="46" t="s">
        <v>199</v>
      </c>
      <c r="E26" s="85">
        <v>0</v>
      </c>
      <c r="F26" s="47">
        <f t="shared" si="102"/>
        <v>0</v>
      </c>
      <c r="G26" s="86">
        <f t="shared" si="103"/>
        <v>0</v>
      </c>
      <c r="H26" s="49">
        <f t="shared" si="104"/>
        <v>0</v>
      </c>
      <c r="I26" s="50">
        <f>_xlfn.XLOOKUP($C26,Tb_DISTR.FIN[Nº  SS],Tb_DISTR.FIN[SET.25],"0%",0,1)</f>
        <v>0</v>
      </c>
      <c r="J26" s="69">
        <f t="shared" si="148"/>
        <v>0</v>
      </c>
      <c r="K26" s="52">
        <f t="shared" si="153"/>
        <v>0</v>
      </c>
      <c r="L26" s="53">
        <f t="shared" si="107"/>
        <v>0</v>
      </c>
      <c r="M26" s="54"/>
      <c r="N26" s="55"/>
      <c r="O26" s="50">
        <f>_xlfn.XLOOKUP($C26,Tb_DISTR.FIN[Nº  SS],Tb_DISTR.FIN[OUT.25],"0%",0,1)</f>
        <v>0</v>
      </c>
      <c r="P26" s="69">
        <f t="shared" si="108"/>
        <v>0</v>
      </c>
      <c r="Q26" s="52">
        <f t="shared" si="150"/>
        <v>0</v>
      </c>
      <c r="R26" s="53">
        <f t="shared" si="109"/>
        <v>0</v>
      </c>
      <c r="S26" s="54">
        <f t="shared" si="151"/>
        <v>0</v>
      </c>
      <c r="T26" s="55">
        <f t="shared" si="110"/>
        <v>0</v>
      </c>
      <c r="U26" s="50">
        <v>0.1</v>
      </c>
      <c r="V26" s="69">
        <v>229661.09700000004</v>
      </c>
      <c r="W26" s="52">
        <v>0.1</v>
      </c>
      <c r="X26" s="53">
        <v>229661.09700000004</v>
      </c>
      <c r="Y26" s="54"/>
      <c r="Z26" s="55">
        <f t="shared" si="113"/>
        <v>0</v>
      </c>
      <c r="AA26" s="50">
        <v>0</v>
      </c>
      <c r="AB26" s="69">
        <f t="shared" si="114"/>
        <v>0</v>
      </c>
      <c r="AC26" s="52">
        <f>_xlfn.XLOOKUP($C26,Tb_DISTR.FIN[Nº  SS],Tb_DISTR.FIN[DEZ.25],"0%",0,1)</f>
        <v>0</v>
      </c>
      <c r="AD26" s="53">
        <f t="shared" si="115"/>
        <v>0</v>
      </c>
      <c r="AE26" s="54"/>
      <c r="AF26" s="55">
        <f t="shared" si="116"/>
        <v>0</v>
      </c>
      <c r="AG26" s="50">
        <v>0</v>
      </c>
      <c r="AH26" s="69">
        <f t="shared" si="117"/>
        <v>0</v>
      </c>
      <c r="AI26" s="52">
        <v>0</v>
      </c>
      <c r="AJ26" s="53">
        <f t="shared" si="118"/>
        <v>0</v>
      </c>
      <c r="AK26" s="54">
        <f>_xlfn.XLOOKUP($C26,Tb_DISTR.FIN[Nº  SS],Tb_DISTR.FIN[JAN.26],"0%",0,1)</f>
        <v>0</v>
      </c>
      <c r="AL26" s="55">
        <f t="shared" si="119"/>
        <v>0</v>
      </c>
      <c r="AM26" s="50">
        <v>0</v>
      </c>
      <c r="AN26" s="69">
        <f t="shared" si="120"/>
        <v>0</v>
      </c>
      <c r="AO26" s="52">
        <f t="shared" si="121"/>
        <v>0</v>
      </c>
      <c r="AP26" s="53">
        <f t="shared" si="122"/>
        <v>0</v>
      </c>
      <c r="AQ26" s="54"/>
      <c r="AR26" s="55">
        <f t="shared" si="123"/>
        <v>0</v>
      </c>
      <c r="AS26" s="50">
        <f>_xlfn.XLOOKUP($C26,Tb_DISTR.FIN[Nº  SS],Tb_DISTR.FIN[MAR.26],"0%",0,1)</f>
        <v>0</v>
      </c>
      <c r="AT26" s="69">
        <f t="shared" si="124"/>
        <v>0</v>
      </c>
      <c r="AU26" s="52">
        <f t="shared" si="125"/>
        <v>0</v>
      </c>
      <c r="AV26" s="53">
        <f t="shared" si="126"/>
        <v>0</v>
      </c>
      <c r="AW26" s="54"/>
      <c r="AX26" s="55">
        <f t="shared" si="127"/>
        <v>0</v>
      </c>
      <c r="AY26" s="50">
        <f>_xlfn.XLOOKUP($C26,Tb_DISTR.FIN[Nº  SS],Tb_DISTR.FIN[ABR.26],"0%",0,1)</f>
        <v>0</v>
      </c>
      <c r="AZ26" s="69">
        <f t="shared" si="128"/>
        <v>0</v>
      </c>
      <c r="BA26" s="52">
        <f t="shared" si="129"/>
        <v>0</v>
      </c>
      <c r="BB26" s="53">
        <f t="shared" si="130"/>
        <v>0</v>
      </c>
      <c r="BC26" s="54"/>
      <c r="BD26" s="55">
        <f t="shared" si="131"/>
        <v>0</v>
      </c>
      <c r="BE26" s="50">
        <f>_xlfn.XLOOKUP($C26,Tb_DISTR.FIN[Nº  SS],Tb_DISTR.FIN[MAI.26],"0%",0,1)</f>
        <v>0</v>
      </c>
      <c r="BF26" s="69">
        <f t="shared" si="132"/>
        <v>0</v>
      </c>
      <c r="BG26" s="52">
        <f t="shared" si="133"/>
        <v>0</v>
      </c>
      <c r="BH26" s="53">
        <f t="shared" si="134"/>
        <v>0</v>
      </c>
      <c r="BI26" s="54"/>
      <c r="BJ26" s="55">
        <f t="shared" si="135"/>
        <v>0</v>
      </c>
      <c r="BK26" s="50">
        <f>_xlfn.XLOOKUP($C26,Tb_DISTR.FIN[Nº  SS],Tb_DISTR.FIN[JUN.26],"0%",0,1)</f>
        <v>0</v>
      </c>
      <c r="BL26" s="69">
        <f t="shared" si="136"/>
        <v>0</v>
      </c>
      <c r="BM26" s="52">
        <f t="shared" si="137"/>
        <v>0</v>
      </c>
      <c r="BN26" s="53">
        <f t="shared" si="138"/>
        <v>0</v>
      </c>
      <c r="BO26" s="54"/>
      <c r="BP26" s="55">
        <f t="shared" si="139"/>
        <v>0</v>
      </c>
      <c r="BQ26" s="50">
        <f>_xlfn.XLOOKUP($C26,Tb_DISTR.FIN[Nº  SS],Tb_DISTR.FIN[JUL.26],"0%",0,1)</f>
        <v>0</v>
      </c>
      <c r="BR26" s="69">
        <f t="shared" si="140"/>
        <v>0</v>
      </c>
      <c r="BS26" s="52">
        <f t="shared" si="141"/>
        <v>0</v>
      </c>
      <c r="BT26" s="53">
        <f t="shared" si="142"/>
        <v>0</v>
      </c>
      <c r="BU26" s="54"/>
      <c r="BV26" s="55">
        <f t="shared" si="143"/>
        <v>0</v>
      </c>
      <c r="BW26" s="50">
        <f>_xlfn.XLOOKUP($C26,Tb_DISTR.FIN[Nº  SS],Tb_DISTR.FIN[AGO.26],"0%",0,1)</f>
        <v>0</v>
      </c>
      <c r="BX26" s="69">
        <f t="shared" si="144"/>
        <v>0</v>
      </c>
      <c r="BY26" s="52">
        <f t="shared" si="145"/>
        <v>0</v>
      </c>
      <c r="BZ26" s="53">
        <f t="shared" si="146"/>
        <v>0</v>
      </c>
      <c r="CA26" s="54"/>
      <c r="CB26" s="55">
        <f t="shared" si="147"/>
        <v>0</v>
      </c>
    </row>
    <row r="27" spans="1:80" s="42" customFormat="1" ht="24" customHeight="1" x14ac:dyDescent="0.2">
      <c r="A27" s="287" t="s">
        <v>125</v>
      </c>
      <c r="B27" s="288" t="s">
        <v>197</v>
      </c>
      <c r="C27" s="289" t="s">
        <v>193</v>
      </c>
      <c r="D27" s="290" t="s">
        <v>200</v>
      </c>
      <c r="E27" s="291">
        <v>9395.7999999999993</v>
      </c>
      <c r="F27" s="291">
        <f t="shared" si="102"/>
        <v>0</v>
      </c>
      <c r="G27" s="292">
        <f>IFERROR(((J27+P27+X27+AF27+AH27+AN27+AT27+AZ27+BF27+BL27+BR27+BX27)/E27),0)</f>
        <v>1</v>
      </c>
      <c r="H27" s="293">
        <f t="shared" si="104"/>
        <v>1</v>
      </c>
      <c r="I27" s="64">
        <f>_xlfn.XLOOKUP($C27,Tb_DISTR.FIN[Nº  SS],Tb_DISTR.FIN[SET.25],"0%",0,1)</f>
        <v>0</v>
      </c>
      <c r="J27" s="51">
        <f t="shared" si="148"/>
        <v>0</v>
      </c>
      <c r="K27" s="65">
        <f t="shared" si="153"/>
        <v>0</v>
      </c>
      <c r="L27" s="66">
        <f t="shared" si="107"/>
        <v>0</v>
      </c>
      <c r="M27" s="67"/>
      <c r="N27" s="227"/>
      <c r="O27" s="64">
        <f>_xlfn.XLOOKUP($C27,Tb_DISTR.FIN[Nº  SS],Tb_DISTR.FIN[OUT.25],"0%",0,1)</f>
        <v>0</v>
      </c>
      <c r="P27" s="51">
        <f t="shared" si="108"/>
        <v>0</v>
      </c>
      <c r="Q27" s="65">
        <f t="shared" si="150"/>
        <v>0</v>
      </c>
      <c r="R27" s="66">
        <f t="shared" si="109"/>
        <v>0</v>
      </c>
      <c r="S27" s="67">
        <f t="shared" si="151"/>
        <v>0</v>
      </c>
      <c r="T27" s="227">
        <f t="shared" si="110"/>
        <v>0</v>
      </c>
      <c r="U27" s="64">
        <v>0.1</v>
      </c>
      <c r="V27" s="51">
        <f t="shared" si="111"/>
        <v>939.57999999999993</v>
      </c>
      <c r="W27" s="65">
        <v>0.1</v>
      </c>
      <c r="X27" s="66">
        <f t="shared" si="112"/>
        <v>939.57999999999993</v>
      </c>
      <c r="Y27" s="67">
        <v>0.1</v>
      </c>
      <c r="Z27" s="227">
        <f t="shared" si="113"/>
        <v>939.57999999999993</v>
      </c>
      <c r="AA27" s="64">
        <f>AB27/E27</f>
        <v>0.29268481662019208</v>
      </c>
      <c r="AB27" s="51">
        <v>2750.0080000000003</v>
      </c>
      <c r="AC27" s="65">
        <f>_xlfn.XLOOKUP($C27,Tb_DISTR.FIN[Nº  SS],Tb_DISTR.FIN[DEZ.25],"0%",0,1)</f>
        <v>0.9</v>
      </c>
      <c r="AD27" s="66">
        <f t="shared" si="115"/>
        <v>8456.2199999999993</v>
      </c>
      <c r="AE27" s="67">
        <v>0.9</v>
      </c>
      <c r="AF27" s="227">
        <f t="shared" si="116"/>
        <v>8456.2199999999993</v>
      </c>
      <c r="AG27" s="64">
        <v>0</v>
      </c>
      <c r="AH27" s="51">
        <f t="shared" si="117"/>
        <v>0</v>
      </c>
      <c r="AI27" s="65">
        <v>0</v>
      </c>
      <c r="AJ27" s="66">
        <f t="shared" si="118"/>
        <v>0</v>
      </c>
      <c r="AK27" s="67">
        <f>_xlfn.XLOOKUP($C27,Tb_DISTR.FIN[Nº  SS],Tb_DISTR.FIN[JAN.26],"0%",0,1)</f>
        <v>0</v>
      </c>
      <c r="AL27" s="227">
        <f t="shared" si="119"/>
        <v>0</v>
      </c>
      <c r="AM27" s="64">
        <v>0</v>
      </c>
      <c r="AN27" s="51">
        <f t="shared" si="120"/>
        <v>0</v>
      </c>
      <c r="AO27" s="65">
        <f t="shared" si="121"/>
        <v>0</v>
      </c>
      <c r="AP27" s="66">
        <f t="shared" si="122"/>
        <v>0</v>
      </c>
      <c r="AQ27" s="67"/>
      <c r="AR27" s="227">
        <f t="shared" si="123"/>
        <v>0</v>
      </c>
      <c r="AS27" s="64">
        <f>_xlfn.XLOOKUP($C27,Tb_DISTR.FIN[Nº  SS],Tb_DISTR.FIN[MAR.26],"0%",0,1)</f>
        <v>0</v>
      </c>
      <c r="AT27" s="51">
        <f t="shared" si="124"/>
        <v>0</v>
      </c>
      <c r="AU27" s="65">
        <f t="shared" si="125"/>
        <v>0</v>
      </c>
      <c r="AV27" s="66">
        <f t="shared" si="126"/>
        <v>0</v>
      </c>
      <c r="AW27" s="67"/>
      <c r="AX27" s="227">
        <f t="shared" si="127"/>
        <v>0</v>
      </c>
      <c r="AY27" s="64">
        <f>_xlfn.XLOOKUP($C27,Tb_DISTR.FIN[Nº  SS],Tb_DISTR.FIN[ABR.26],"0%",0,1)</f>
        <v>0</v>
      </c>
      <c r="AZ27" s="51">
        <f t="shared" si="128"/>
        <v>0</v>
      </c>
      <c r="BA27" s="65">
        <f t="shared" si="129"/>
        <v>0</v>
      </c>
      <c r="BB27" s="66">
        <f t="shared" si="130"/>
        <v>0</v>
      </c>
      <c r="BC27" s="67"/>
      <c r="BD27" s="227">
        <f t="shared" si="131"/>
        <v>0</v>
      </c>
      <c r="BE27" s="64">
        <f>_xlfn.XLOOKUP($C27,Tb_DISTR.FIN[Nº  SS],Tb_DISTR.FIN[MAI.26],"0%",0,1)</f>
        <v>0</v>
      </c>
      <c r="BF27" s="51">
        <f t="shared" si="132"/>
        <v>0</v>
      </c>
      <c r="BG27" s="65">
        <f t="shared" si="133"/>
        <v>0</v>
      </c>
      <c r="BH27" s="66">
        <f t="shared" si="134"/>
        <v>0</v>
      </c>
      <c r="BI27" s="67"/>
      <c r="BJ27" s="227">
        <f t="shared" si="135"/>
        <v>0</v>
      </c>
      <c r="BK27" s="64">
        <f>_xlfn.XLOOKUP($C27,Tb_DISTR.FIN[Nº  SS],Tb_DISTR.FIN[JUN.26],"0%",0,1)</f>
        <v>0</v>
      </c>
      <c r="BL27" s="51">
        <f t="shared" si="136"/>
        <v>0</v>
      </c>
      <c r="BM27" s="65">
        <f t="shared" si="137"/>
        <v>0</v>
      </c>
      <c r="BN27" s="66">
        <f t="shared" si="138"/>
        <v>0</v>
      </c>
      <c r="BO27" s="67"/>
      <c r="BP27" s="227">
        <f t="shared" si="139"/>
        <v>0</v>
      </c>
      <c r="BQ27" s="64">
        <f>_xlfn.XLOOKUP($C27,Tb_DISTR.FIN[Nº  SS],Tb_DISTR.FIN[JUL.26],"0%",0,1)</f>
        <v>0</v>
      </c>
      <c r="BR27" s="51">
        <f t="shared" si="140"/>
        <v>0</v>
      </c>
      <c r="BS27" s="65">
        <f t="shared" si="141"/>
        <v>0</v>
      </c>
      <c r="BT27" s="66">
        <f t="shared" si="142"/>
        <v>0</v>
      </c>
      <c r="BU27" s="67"/>
      <c r="BV27" s="227">
        <f t="shared" si="143"/>
        <v>0</v>
      </c>
      <c r="BW27" s="64">
        <f>_xlfn.XLOOKUP($C27,Tb_DISTR.FIN[Nº  SS],Tb_DISTR.FIN[AGO.26],"0%",0,1)</f>
        <v>0</v>
      </c>
      <c r="BX27" s="51">
        <f t="shared" si="144"/>
        <v>0</v>
      </c>
      <c r="BY27" s="65">
        <f t="shared" si="145"/>
        <v>0</v>
      </c>
      <c r="BZ27" s="66">
        <f t="shared" si="146"/>
        <v>0</v>
      </c>
      <c r="CA27" s="67"/>
      <c r="CB27" s="227">
        <f t="shared" si="147"/>
        <v>0</v>
      </c>
    </row>
    <row r="28" spans="1:80" s="56" customFormat="1" ht="24" customHeight="1" x14ac:dyDescent="0.2">
      <c r="A28" s="44" t="s">
        <v>125</v>
      </c>
      <c r="B28" s="44" t="s">
        <v>250</v>
      </c>
      <c r="C28" s="45" t="s">
        <v>251</v>
      </c>
      <c r="D28" s="46" t="s">
        <v>252</v>
      </c>
      <c r="E28" s="85">
        <v>0</v>
      </c>
      <c r="F28" s="47">
        <f t="shared" si="102"/>
        <v>0</v>
      </c>
      <c r="G28" s="86">
        <f t="shared" si="103"/>
        <v>0</v>
      </c>
      <c r="H28" s="49">
        <f t="shared" si="104"/>
        <v>0</v>
      </c>
      <c r="I28" s="50">
        <f>_xlfn.XLOOKUP($C28,Tb_DISTR.FIN[Nº  SS],Tb_DISTR.FIN[SET.25],"0%",0,1)</f>
        <v>0</v>
      </c>
      <c r="J28" s="69">
        <f>$E28*I28</f>
        <v>0</v>
      </c>
      <c r="K28" s="52"/>
      <c r="L28" s="53">
        <f>$E28*K28</f>
        <v>0</v>
      </c>
      <c r="M28" s="54"/>
      <c r="N28" s="55">
        <f>$E28*M28</f>
        <v>0</v>
      </c>
      <c r="O28" s="50">
        <f>_xlfn.XLOOKUP($C28,Tb_DISTR.FIN[Nº  SS],Tb_DISTR.FIN[OUT.25],"0%",0,1)</f>
        <v>0</v>
      </c>
      <c r="P28" s="69">
        <f>$E28*O28</f>
        <v>0</v>
      </c>
      <c r="Q28" s="52"/>
      <c r="R28" s="53">
        <f>$E28*Q28</f>
        <v>0</v>
      </c>
      <c r="S28" s="54"/>
      <c r="T28" s="55">
        <f>$E28*S28</f>
        <v>0</v>
      </c>
      <c r="U28" s="50">
        <v>0.1</v>
      </c>
      <c r="V28" s="69">
        <v>56909.972000000002</v>
      </c>
      <c r="W28" s="52">
        <v>0.1</v>
      </c>
      <c r="X28" s="53">
        <v>56909.972000000002</v>
      </c>
      <c r="Y28" s="54"/>
      <c r="Z28" s="55">
        <f>$E28*Y28</f>
        <v>0</v>
      </c>
      <c r="AA28" s="50">
        <v>0</v>
      </c>
      <c r="AB28" s="69">
        <f>$E28*AA28</f>
        <v>0</v>
      </c>
      <c r="AC28" s="52">
        <f>_xlfn.XLOOKUP($C28,Tb_DISTR.FIN[Nº  SS],Tb_DISTR.FIN[DEZ.25],"0%",0,1)</f>
        <v>0</v>
      </c>
      <c r="AD28" s="53">
        <f>$E28*AC28</f>
        <v>0</v>
      </c>
      <c r="AE28" s="54"/>
      <c r="AF28" s="55">
        <f>$E28*AE28</f>
        <v>0</v>
      </c>
      <c r="AG28" s="50">
        <v>0</v>
      </c>
      <c r="AH28" s="69">
        <f>$E28*AG28</f>
        <v>0</v>
      </c>
      <c r="AI28" s="52">
        <v>0</v>
      </c>
      <c r="AJ28" s="53">
        <f>$E28*AI28</f>
        <v>0</v>
      </c>
      <c r="AK28" s="54">
        <f>_xlfn.XLOOKUP($C28,Tb_DISTR.FIN[Nº  SS],Tb_DISTR.FIN[JAN.26],"0%",0,1)</f>
        <v>0</v>
      </c>
      <c r="AL28" s="55">
        <f>$E28*AK28</f>
        <v>0</v>
      </c>
      <c r="AM28" s="50">
        <v>0</v>
      </c>
      <c r="AN28" s="69">
        <f>$E28*AM28</f>
        <v>0</v>
      </c>
      <c r="AO28" s="52">
        <f t="shared" ref="AO28:AO33" si="154">AM28</f>
        <v>0</v>
      </c>
      <c r="AP28" s="53">
        <f>$E28*AO28</f>
        <v>0</v>
      </c>
      <c r="AQ28" s="54"/>
      <c r="AR28" s="55">
        <f>$E28*AQ28</f>
        <v>0</v>
      </c>
      <c r="AS28" s="50">
        <f>_xlfn.XLOOKUP($C28,Tb_DISTR.FIN[Nº  SS],Tb_DISTR.FIN[MAR.26],"0%",0,1)</f>
        <v>0</v>
      </c>
      <c r="AT28" s="69">
        <f>$E28*AS28</f>
        <v>0</v>
      </c>
      <c r="AU28" s="52">
        <f t="shared" ref="AU28:AU33" si="155">AS28</f>
        <v>0</v>
      </c>
      <c r="AV28" s="53">
        <f>$E28*AU28</f>
        <v>0</v>
      </c>
      <c r="AW28" s="54"/>
      <c r="AX28" s="55">
        <f>$E28*AW28</f>
        <v>0</v>
      </c>
      <c r="AY28" s="50">
        <f>_xlfn.XLOOKUP($C28,Tb_DISTR.FIN[Nº  SS],Tb_DISTR.FIN[ABR.26],"0%",0,1)</f>
        <v>0</v>
      </c>
      <c r="AZ28" s="69">
        <f>$E28*AY28</f>
        <v>0</v>
      </c>
      <c r="BA28" s="52">
        <f t="shared" ref="BA28:BA33" si="156">AY28</f>
        <v>0</v>
      </c>
      <c r="BB28" s="53">
        <f>$E28*BA28</f>
        <v>0</v>
      </c>
      <c r="BC28" s="54"/>
      <c r="BD28" s="55">
        <f>$E28*BC28</f>
        <v>0</v>
      </c>
      <c r="BE28" s="50">
        <f>_xlfn.XLOOKUP($C28,Tb_DISTR.FIN[Nº  SS],Tb_DISTR.FIN[MAI.26],"0%",0,1)</f>
        <v>0</v>
      </c>
      <c r="BF28" s="69">
        <f>$E28*BE28</f>
        <v>0</v>
      </c>
      <c r="BG28" s="52">
        <f t="shared" ref="BG28:BG33" si="157">BE28</f>
        <v>0</v>
      </c>
      <c r="BH28" s="53">
        <f>$E28*BG28</f>
        <v>0</v>
      </c>
      <c r="BI28" s="54"/>
      <c r="BJ28" s="55">
        <f>$E28*BI28</f>
        <v>0</v>
      </c>
      <c r="BK28" s="50">
        <f>_xlfn.XLOOKUP($C28,Tb_DISTR.FIN[Nº  SS],Tb_DISTR.FIN[JUN.26],"0%",0,1)</f>
        <v>0</v>
      </c>
      <c r="BL28" s="69">
        <f>$E28*BK28</f>
        <v>0</v>
      </c>
      <c r="BM28" s="52">
        <f t="shared" ref="BM28:BM33" si="158">BK28</f>
        <v>0</v>
      </c>
      <c r="BN28" s="53">
        <f>$E28*BM28</f>
        <v>0</v>
      </c>
      <c r="BO28" s="54"/>
      <c r="BP28" s="55">
        <f>$E28*BO28</f>
        <v>0</v>
      </c>
      <c r="BQ28" s="50">
        <f>_xlfn.XLOOKUP($C28,Tb_DISTR.FIN[Nº  SS],Tb_DISTR.FIN[JUL.26],"0%",0,1)</f>
        <v>0</v>
      </c>
      <c r="BR28" s="69">
        <f>$E28*BQ28</f>
        <v>0</v>
      </c>
      <c r="BS28" s="52">
        <f t="shared" ref="BS28:BS33" si="159">BQ28</f>
        <v>0</v>
      </c>
      <c r="BT28" s="53">
        <f>$E28*BS28</f>
        <v>0</v>
      </c>
      <c r="BU28" s="54"/>
      <c r="BV28" s="55">
        <f>$E28*BU28</f>
        <v>0</v>
      </c>
      <c r="BW28" s="50">
        <f>_xlfn.XLOOKUP($C28,Tb_DISTR.FIN[Nº  SS],Tb_DISTR.FIN[AGO.26],"0%",0,1)</f>
        <v>0</v>
      </c>
      <c r="BX28" s="69">
        <f>$E28*BW28</f>
        <v>0</v>
      </c>
      <c r="BY28" s="52">
        <f t="shared" ref="BY28:BY33" si="160">BW28</f>
        <v>0</v>
      </c>
      <c r="BZ28" s="53">
        <f>$E28*BY28</f>
        <v>0</v>
      </c>
      <c r="CA28" s="54"/>
      <c r="CB28" s="55">
        <f>$E28*CA28</f>
        <v>0</v>
      </c>
    </row>
    <row r="29" spans="1:80" s="42" customFormat="1" ht="24" customHeight="1" x14ac:dyDescent="0.2">
      <c r="A29" s="58" t="s">
        <v>125</v>
      </c>
      <c r="B29" s="58" t="s">
        <v>310</v>
      </c>
      <c r="C29" s="59" t="s">
        <v>304</v>
      </c>
      <c r="D29" s="60" t="s">
        <v>315</v>
      </c>
      <c r="E29" s="61">
        <v>1125967.97034</v>
      </c>
      <c r="F29" s="61">
        <f t="shared" ref="F29:F33" si="161">IFERROR(E29-N29-T29-Z29-AF29-AL29-AR29-AX29-BD29-BJ29-BP29-BV29-CB29,0)</f>
        <v>608022.70398360002</v>
      </c>
      <c r="G29" s="62">
        <f>IFERROR(((J29+P29+X29+AF29+AH29+AN29+AT29+AZ29+BF29+BL29+BR29+BX29)/E29),0)</f>
        <v>1.1800000000000002</v>
      </c>
      <c r="H29" s="63">
        <f t="shared" ref="H29:H33" si="162">IFERROR(((E29-F29)/E29),0)</f>
        <v>0.45999999999999996</v>
      </c>
      <c r="I29" s="64">
        <v>0</v>
      </c>
      <c r="J29" s="51">
        <f t="shared" ref="J29:J33" si="163">$E29*I29</f>
        <v>0</v>
      </c>
      <c r="K29" s="65">
        <v>0</v>
      </c>
      <c r="L29" s="66">
        <f t="shared" ref="L29:L33" si="164">$E29*K29</f>
        <v>0</v>
      </c>
      <c r="M29" s="67"/>
      <c r="N29" s="227"/>
      <c r="O29" s="64">
        <v>0</v>
      </c>
      <c r="P29" s="51">
        <f t="shared" ref="P29:P33" si="165">$E29*O29</f>
        <v>0</v>
      </c>
      <c r="Q29" s="65">
        <v>0</v>
      </c>
      <c r="R29" s="66">
        <f t="shared" ref="R29:R33" si="166">$E29*Q29</f>
        <v>0</v>
      </c>
      <c r="S29" s="67">
        <v>0</v>
      </c>
      <c r="T29" s="227">
        <f t="shared" ref="T29:T33" si="167">$E29*S29</f>
        <v>0</v>
      </c>
      <c r="U29" s="64">
        <v>0</v>
      </c>
      <c r="V29" s="51">
        <f t="shared" ref="V29:V33" si="168">$E29*U29</f>
        <v>0</v>
      </c>
      <c r="W29" s="65">
        <v>0</v>
      </c>
      <c r="X29" s="66">
        <f t="shared" ref="X29:X33" si="169">$E29*W29</f>
        <v>0</v>
      </c>
      <c r="Y29" s="67">
        <v>0</v>
      </c>
      <c r="Z29" s="227">
        <f t="shared" ref="Z29:Z33" si="170">$E29*Y29</f>
        <v>0</v>
      </c>
      <c r="AA29" s="64">
        <v>0</v>
      </c>
      <c r="AB29" s="51">
        <f t="shared" ref="AB29:AB33" si="171">$E29*AA29</f>
        <v>0</v>
      </c>
      <c r="AC29" s="65">
        <f>_xlfn.XLOOKUP($C29,Tb_DISTR.FIN[Nº  SS],Tb_DISTR.FIN[DEZ.25],"0%",0,1)</f>
        <v>0.1</v>
      </c>
      <c r="AD29" s="66">
        <f t="shared" ref="AD29:AD33" si="172">$E29*AC29</f>
        <v>112596.797034</v>
      </c>
      <c r="AE29" s="67">
        <v>0.1</v>
      </c>
      <c r="AF29" s="227">
        <f t="shared" ref="AF29:AF35" si="173">$E29*AE29</f>
        <v>112596.797034</v>
      </c>
      <c r="AG29" s="64">
        <v>0.26</v>
      </c>
      <c r="AH29" s="51">
        <f t="shared" ref="AH29:AH35" si="174">$E29*AG29</f>
        <v>292751.6722884</v>
      </c>
      <c r="AI29" s="65">
        <v>0.26</v>
      </c>
      <c r="AJ29" s="66">
        <f t="shared" ref="AJ29:AJ35" si="175">$E29*AI29</f>
        <v>292751.6722884</v>
      </c>
      <c r="AK29" s="67">
        <f>_xlfn.XLOOKUP($C29,Tb_DISTR.FIN[Nº  SS],Tb_DISTR.FIN[JAN.26],"0%",0,1)</f>
        <v>0.2</v>
      </c>
      <c r="AL29" s="227">
        <f t="shared" ref="AL29:AL35" si="176">$E29*AK29</f>
        <v>225193.59406800001</v>
      </c>
      <c r="AM29" s="64">
        <v>0.28000000000000003</v>
      </c>
      <c r="AN29" s="51">
        <f t="shared" ref="AN29:AN33" si="177">$E29*AM29</f>
        <v>315271.03169520001</v>
      </c>
      <c r="AO29" s="65">
        <f t="shared" si="154"/>
        <v>0.28000000000000003</v>
      </c>
      <c r="AP29" s="66">
        <f t="shared" ref="AP29:AP33" si="178">$E29*AO29</f>
        <v>315271.03169520001</v>
      </c>
      <c r="AQ29" s="67">
        <v>0.16</v>
      </c>
      <c r="AR29" s="227">
        <f t="shared" ref="AR29:AR33" si="179">$E29*AQ29</f>
        <v>180154.87525440002</v>
      </c>
      <c r="AS29" s="64">
        <f>_xlfn.XLOOKUP($C29,Tb_DISTR.FIN[Nº  SS],Tb_DISTR.FIN[MAR.26],"0%",0,1)</f>
        <v>0.24</v>
      </c>
      <c r="AT29" s="51">
        <f t="shared" ref="AT29:AT33" si="180">$E29*AS29</f>
        <v>270232.3128816</v>
      </c>
      <c r="AU29" s="65">
        <f t="shared" si="155"/>
        <v>0.24</v>
      </c>
      <c r="AV29" s="66">
        <f t="shared" ref="AV29:AV33" si="181">$E29*AU29</f>
        <v>270232.3128816</v>
      </c>
      <c r="AW29" s="67"/>
      <c r="AX29" s="227">
        <f t="shared" ref="AX29:AX33" si="182">$E29*AW29</f>
        <v>0</v>
      </c>
      <c r="AY29" s="64">
        <f>_xlfn.XLOOKUP($C29,Tb_DISTR.FIN[Nº  SS],Tb_DISTR.FIN[ABR.26],"0%",0,1)</f>
        <v>0.1</v>
      </c>
      <c r="AZ29" s="51">
        <f t="shared" ref="AZ29:AZ33" si="183">$E29*AY29</f>
        <v>112596.797034</v>
      </c>
      <c r="BA29" s="65">
        <f t="shared" si="156"/>
        <v>0.1</v>
      </c>
      <c r="BB29" s="66">
        <f t="shared" ref="BB29:BB33" si="184">$E29*BA29</f>
        <v>112596.797034</v>
      </c>
      <c r="BC29" s="67"/>
      <c r="BD29" s="227">
        <f t="shared" ref="BD29:BD33" si="185">$E29*BC29</f>
        <v>0</v>
      </c>
      <c r="BE29" s="64">
        <f>_xlfn.XLOOKUP($C29,Tb_DISTR.FIN[Nº  SS],Tb_DISTR.FIN[MAI.26],"0%",0,1)</f>
        <v>0.1</v>
      </c>
      <c r="BF29" s="51">
        <f t="shared" ref="BF29:BF33" si="186">$E29*BE29</f>
        <v>112596.797034</v>
      </c>
      <c r="BG29" s="65">
        <f t="shared" si="157"/>
        <v>0.1</v>
      </c>
      <c r="BH29" s="66">
        <f t="shared" ref="BH29:BH33" si="187">$E29*BG29</f>
        <v>112596.797034</v>
      </c>
      <c r="BI29" s="67"/>
      <c r="BJ29" s="227">
        <f t="shared" ref="BJ29:BJ33" si="188">$E29*BI29</f>
        <v>0</v>
      </c>
      <c r="BK29" s="64">
        <f>_xlfn.XLOOKUP($C29,Tb_DISTR.FIN[Nº  SS],Tb_DISTR.FIN[JUN.26],"0%",0,1)</f>
        <v>0.1</v>
      </c>
      <c r="BL29" s="51">
        <f t="shared" ref="BL29:BL33" si="189">$E29*BK29</f>
        <v>112596.797034</v>
      </c>
      <c r="BM29" s="65">
        <f t="shared" si="158"/>
        <v>0.1</v>
      </c>
      <c r="BN29" s="66">
        <f t="shared" ref="BN29:BN33" si="190">$E29*BM29</f>
        <v>112596.797034</v>
      </c>
      <c r="BO29" s="67"/>
      <c r="BP29" s="227">
        <f t="shared" ref="BP29:BP33" si="191">$E29*BO29</f>
        <v>0</v>
      </c>
      <c r="BQ29" s="64">
        <f>_xlfn.XLOOKUP($C29,Tb_DISTR.FIN[Nº  SS],Tb_DISTR.FIN[JUL.26],"0%",0,1)</f>
        <v>0</v>
      </c>
      <c r="BR29" s="51">
        <f t="shared" ref="BR29:BR33" si="192">$E29*BQ29</f>
        <v>0</v>
      </c>
      <c r="BS29" s="65">
        <f t="shared" si="159"/>
        <v>0</v>
      </c>
      <c r="BT29" s="66">
        <f t="shared" ref="BT29:BT33" si="193">$E29*BS29</f>
        <v>0</v>
      </c>
      <c r="BU29" s="67"/>
      <c r="BV29" s="227">
        <f t="shared" ref="BV29:BV33" si="194">$E29*BU29</f>
        <v>0</v>
      </c>
      <c r="BW29" s="64">
        <f>_xlfn.XLOOKUP($C29,Tb_DISTR.FIN[Nº  SS],Tb_DISTR.FIN[AGO.26],"0%",0,1)</f>
        <v>0</v>
      </c>
      <c r="BX29" s="51">
        <f t="shared" ref="BX29:BX33" si="195">$E29*BW29</f>
        <v>0</v>
      </c>
      <c r="BY29" s="65">
        <f t="shared" si="160"/>
        <v>0</v>
      </c>
      <c r="BZ29" s="66">
        <f t="shared" ref="BZ29:BZ33" si="196">$E29*BY29</f>
        <v>0</v>
      </c>
      <c r="CA29" s="67"/>
      <c r="CB29" s="227">
        <f t="shared" ref="CB29:CB33" si="197">$E29*CA29</f>
        <v>0</v>
      </c>
    </row>
    <row r="30" spans="1:80" s="42" customFormat="1" ht="24" customHeight="1" x14ac:dyDescent="0.2">
      <c r="A30" s="58" t="s">
        <v>125</v>
      </c>
      <c r="B30" s="58" t="s">
        <v>311</v>
      </c>
      <c r="C30" s="59" t="s">
        <v>305</v>
      </c>
      <c r="D30" s="60" t="s">
        <v>316</v>
      </c>
      <c r="E30" s="61">
        <v>415472.31089999998</v>
      </c>
      <c r="F30" s="61">
        <f t="shared" si="161"/>
        <v>124641.69326999999</v>
      </c>
      <c r="G30" s="62">
        <f>IFERROR(((J30+P30+X30+AF30+AH30+AN30+AT30+AZ30+BF30+BL30+BR30+BX30)/E30),0)</f>
        <v>1.1500000000000001</v>
      </c>
      <c r="H30" s="63">
        <f t="shared" si="162"/>
        <v>0.70000000000000007</v>
      </c>
      <c r="I30" s="64">
        <v>0</v>
      </c>
      <c r="J30" s="51">
        <f t="shared" si="163"/>
        <v>0</v>
      </c>
      <c r="K30" s="65">
        <v>0</v>
      </c>
      <c r="L30" s="66">
        <f t="shared" si="164"/>
        <v>0</v>
      </c>
      <c r="M30" s="67"/>
      <c r="N30" s="68"/>
      <c r="O30" s="64">
        <v>0</v>
      </c>
      <c r="P30" s="51">
        <f t="shared" si="165"/>
        <v>0</v>
      </c>
      <c r="Q30" s="65">
        <v>0</v>
      </c>
      <c r="R30" s="66">
        <f t="shared" si="166"/>
        <v>0</v>
      </c>
      <c r="S30" s="67">
        <v>0</v>
      </c>
      <c r="T30" s="68">
        <f t="shared" si="167"/>
        <v>0</v>
      </c>
      <c r="U30" s="64">
        <v>0</v>
      </c>
      <c r="V30" s="51">
        <f t="shared" si="168"/>
        <v>0</v>
      </c>
      <c r="W30" s="65">
        <v>0</v>
      </c>
      <c r="X30" s="66">
        <f t="shared" si="169"/>
        <v>0</v>
      </c>
      <c r="Y30" s="67">
        <v>0</v>
      </c>
      <c r="Z30" s="68">
        <f t="shared" si="170"/>
        <v>0</v>
      </c>
      <c r="AA30" s="64">
        <v>0</v>
      </c>
      <c r="AB30" s="51">
        <f t="shared" si="171"/>
        <v>0</v>
      </c>
      <c r="AC30" s="65">
        <f>_xlfn.XLOOKUP($C30,Tb_DISTR.FIN[Nº  SS],Tb_DISTR.FIN[DEZ.25],"0%",0,1)</f>
        <v>0.1</v>
      </c>
      <c r="AD30" s="66">
        <f t="shared" si="172"/>
        <v>41547.231090000001</v>
      </c>
      <c r="AE30" s="67">
        <v>0.1</v>
      </c>
      <c r="AF30" s="68">
        <f t="shared" si="173"/>
        <v>41547.231090000001</v>
      </c>
      <c r="AG30" s="64">
        <v>0.35</v>
      </c>
      <c r="AH30" s="51">
        <f t="shared" si="174"/>
        <v>145415.308815</v>
      </c>
      <c r="AI30" s="65">
        <v>0.35</v>
      </c>
      <c r="AJ30" s="66">
        <f t="shared" si="175"/>
        <v>145415.308815</v>
      </c>
      <c r="AK30" s="67">
        <f>_xlfn.XLOOKUP($C30,Tb_DISTR.FIN[Nº  SS],Tb_DISTR.FIN[JAN.26],"0%",0,1)</f>
        <v>0.2</v>
      </c>
      <c r="AL30" s="68">
        <f t="shared" si="176"/>
        <v>83094.462180000002</v>
      </c>
      <c r="AM30" s="64">
        <v>0.4</v>
      </c>
      <c r="AN30" s="51">
        <f t="shared" si="177"/>
        <v>166188.92436</v>
      </c>
      <c r="AO30" s="65">
        <f t="shared" si="154"/>
        <v>0.4</v>
      </c>
      <c r="AP30" s="66">
        <f t="shared" si="178"/>
        <v>166188.92436</v>
      </c>
      <c r="AQ30" s="67">
        <v>0.4</v>
      </c>
      <c r="AR30" s="68">
        <f t="shared" si="179"/>
        <v>166188.92436</v>
      </c>
      <c r="AS30" s="64">
        <f>_xlfn.XLOOKUP($C30,Tb_DISTR.FIN[Nº  SS],Tb_DISTR.FIN[MAR.26],"0%",0,1)</f>
        <v>0.30000000000000004</v>
      </c>
      <c r="AT30" s="51">
        <f t="shared" si="180"/>
        <v>124641.69327000002</v>
      </c>
      <c r="AU30" s="65">
        <f t="shared" si="155"/>
        <v>0.30000000000000004</v>
      </c>
      <c r="AV30" s="66">
        <f t="shared" si="181"/>
        <v>124641.69327000002</v>
      </c>
      <c r="AW30" s="67"/>
      <c r="AX30" s="68">
        <f t="shared" si="182"/>
        <v>0</v>
      </c>
      <c r="AY30" s="64">
        <f>_xlfn.XLOOKUP($C30,Tb_DISTR.FIN[Nº  SS],Tb_DISTR.FIN[ABR.26],"0%",0,1)</f>
        <v>0</v>
      </c>
      <c r="AZ30" s="51">
        <f t="shared" si="183"/>
        <v>0</v>
      </c>
      <c r="BA30" s="65">
        <f t="shared" si="156"/>
        <v>0</v>
      </c>
      <c r="BB30" s="66">
        <f t="shared" si="184"/>
        <v>0</v>
      </c>
      <c r="BC30" s="67"/>
      <c r="BD30" s="68">
        <f t="shared" si="185"/>
        <v>0</v>
      </c>
      <c r="BE30" s="64">
        <f>_xlfn.XLOOKUP($C30,Tb_DISTR.FIN[Nº  SS],Tb_DISTR.FIN[MAI.26],"0%",0,1)</f>
        <v>0</v>
      </c>
      <c r="BF30" s="51">
        <f t="shared" si="186"/>
        <v>0</v>
      </c>
      <c r="BG30" s="65">
        <f t="shared" si="157"/>
        <v>0</v>
      </c>
      <c r="BH30" s="66">
        <f t="shared" si="187"/>
        <v>0</v>
      </c>
      <c r="BI30" s="67"/>
      <c r="BJ30" s="68">
        <f t="shared" si="188"/>
        <v>0</v>
      </c>
      <c r="BK30" s="64">
        <f>_xlfn.XLOOKUP($C30,Tb_DISTR.FIN[Nº  SS],Tb_DISTR.FIN[JUN.26],"0%",0,1)</f>
        <v>0</v>
      </c>
      <c r="BL30" s="51">
        <f t="shared" si="189"/>
        <v>0</v>
      </c>
      <c r="BM30" s="65">
        <f t="shared" si="158"/>
        <v>0</v>
      </c>
      <c r="BN30" s="66">
        <f t="shared" si="190"/>
        <v>0</v>
      </c>
      <c r="BO30" s="67"/>
      <c r="BP30" s="68">
        <f t="shared" si="191"/>
        <v>0</v>
      </c>
      <c r="BQ30" s="64">
        <f>_xlfn.XLOOKUP($C30,Tb_DISTR.FIN[Nº  SS],Tb_DISTR.FIN[JUL.26],"0%",0,1)</f>
        <v>0</v>
      </c>
      <c r="BR30" s="51">
        <f t="shared" si="192"/>
        <v>0</v>
      </c>
      <c r="BS30" s="65">
        <f t="shared" si="159"/>
        <v>0</v>
      </c>
      <c r="BT30" s="66">
        <f t="shared" si="193"/>
        <v>0</v>
      </c>
      <c r="BU30" s="67"/>
      <c r="BV30" s="68">
        <f t="shared" si="194"/>
        <v>0</v>
      </c>
      <c r="BW30" s="64">
        <f>_xlfn.XLOOKUP($C30,Tb_DISTR.FIN[Nº  SS],Tb_DISTR.FIN[AGO.26],"0%",0,1)</f>
        <v>0</v>
      </c>
      <c r="BX30" s="51">
        <f t="shared" si="195"/>
        <v>0</v>
      </c>
      <c r="BY30" s="65">
        <f t="shared" si="160"/>
        <v>0</v>
      </c>
      <c r="BZ30" s="66">
        <f t="shared" si="196"/>
        <v>0</v>
      </c>
      <c r="CA30" s="67"/>
      <c r="CB30" s="68">
        <f t="shared" si="197"/>
        <v>0</v>
      </c>
    </row>
    <row r="31" spans="1:80" s="42" customFormat="1" ht="24" customHeight="1" x14ac:dyDescent="0.2">
      <c r="A31" s="58" t="s">
        <v>125</v>
      </c>
      <c r="B31" s="58" t="s">
        <v>312</v>
      </c>
      <c r="C31" s="59" t="s">
        <v>306</v>
      </c>
      <c r="D31" s="60" t="s">
        <v>317</v>
      </c>
      <c r="E31" s="61">
        <v>1219896.0657000002</v>
      </c>
      <c r="F31" s="61">
        <f t="shared" si="161"/>
        <v>683141.79679200007</v>
      </c>
      <c r="G31" s="62">
        <f>IFERROR(((J31+P31+X31+AF31+AH31+AN31+AT31+AZ31+BF31+BL31+BR31+BX31)/E31),0)</f>
        <v>0.90999999999999981</v>
      </c>
      <c r="H31" s="63">
        <f t="shared" si="162"/>
        <v>0.44</v>
      </c>
      <c r="I31" s="64">
        <v>0</v>
      </c>
      <c r="J31" s="51">
        <f t="shared" si="163"/>
        <v>0</v>
      </c>
      <c r="K31" s="65">
        <v>0</v>
      </c>
      <c r="L31" s="66">
        <f t="shared" si="164"/>
        <v>0</v>
      </c>
      <c r="M31" s="67"/>
      <c r="N31" s="68"/>
      <c r="O31" s="64">
        <v>0</v>
      </c>
      <c r="P31" s="51">
        <f t="shared" si="165"/>
        <v>0</v>
      </c>
      <c r="Q31" s="65">
        <v>0</v>
      </c>
      <c r="R31" s="66">
        <f t="shared" si="166"/>
        <v>0</v>
      </c>
      <c r="S31" s="67">
        <v>0</v>
      </c>
      <c r="T31" s="68">
        <f t="shared" si="167"/>
        <v>0</v>
      </c>
      <c r="U31" s="64">
        <v>0</v>
      </c>
      <c r="V31" s="51">
        <f t="shared" si="168"/>
        <v>0</v>
      </c>
      <c r="W31" s="65">
        <v>0</v>
      </c>
      <c r="X31" s="66">
        <f t="shared" si="169"/>
        <v>0</v>
      </c>
      <c r="Y31" s="67">
        <v>0</v>
      </c>
      <c r="Z31" s="68">
        <f t="shared" si="170"/>
        <v>0</v>
      </c>
      <c r="AA31" s="64">
        <v>0</v>
      </c>
      <c r="AB31" s="51">
        <f t="shared" si="171"/>
        <v>0</v>
      </c>
      <c r="AC31" s="65">
        <f>_xlfn.XLOOKUP($C31,Tb_DISTR.FIN[Nº  SS],Tb_DISTR.FIN[DEZ.25],"0%",0,1)</f>
        <v>0.1</v>
      </c>
      <c r="AD31" s="66">
        <f t="shared" si="172"/>
        <v>121989.60657000002</v>
      </c>
      <c r="AE31" s="67">
        <v>0.1</v>
      </c>
      <c r="AF31" s="68">
        <f t="shared" si="173"/>
        <v>121989.60657000002</v>
      </c>
      <c r="AG31" s="64">
        <v>0.25</v>
      </c>
      <c r="AH31" s="51">
        <f t="shared" si="174"/>
        <v>304974.01642500004</v>
      </c>
      <c r="AI31" s="65">
        <v>0.25</v>
      </c>
      <c r="AJ31" s="66">
        <f t="shared" si="175"/>
        <v>304974.01642500004</v>
      </c>
      <c r="AK31" s="67">
        <f>_xlfn.XLOOKUP($C31,Tb_DISTR.FIN[Nº  SS],Tb_DISTR.FIN[JAN.26],"0%",0,1)</f>
        <v>0.25</v>
      </c>
      <c r="AL31" s="68">
        <f t="shared" si="176"/>
        <v>304974.01642500004</v>
      </c>
      <c r="AM31" s="64">
        <v>0</v>
      </c>
      <c r="AN31" s="51">
        <f t="shared" si="177"/>
        <v>0</v>
      </c>
      <c r="AO31" s="65">
        <f t="shared" si="154"/>
        <v>0</v>
      </c>
      <c r="AP31" s="66">
        <f t="shared" si="178"/>
        <v>0</v>
      </c>
      <c r="AQ31" s="67">
        <v>0.09</v>
      </c>
      <c r="AR31" s="68">
        <f t="shared" si="179"/>
        <v>109790.64591300001</v>
      </c>
      <c r="AS31" s="64">
        <f>_xlfn.XLOOKUP($C31,Tb_DISTR.FIN[Nº  SS],Tb_DISTR.FIN[MAR.26],"0%",0,1)</f>
        <v>0.1</v>
      </c>
      <c r="AT31" s="51">
        <f t="shared" si="180"/>
        <v>121989.60657000002</v>
      </c>
      <c r="AU31" s="65">
        <f t="shared" si="155"/>
        <v>0.1</v>
      </c>
      <c r="AV31" s="66">
        <f t="shared" si="181"/>
        <v>121989.60657000002</v>
      </c>
      <c r="AW31" s="67"/>
      <c r="AX31" s="68">
        <f t="shared" si="182"/>
        <v>0</v>
      </c>
      <c r="AY31" s="64">
        <f>_xlfn.XLOOKUP($C31,Tb_DISTR.FIN[Nº  SS],Tb_DISTR.FIN[ABR.26],"0%",0,1)</f>
        <v>0.12</v>
      </c>
      <c r="AZ31" s="51">
        <f t="shared" si="183"/>
        <v>146387.52788400001</v>
      </c>
      <c r="BA31" s="65">
        <f t="shared" si="156"/>
        <v>0.12</v>
      </c>
      <c r="BB31" s="66">
        <f t="shared" si="184"/>
        <v>146387.52788400001</v>
      </c>
      <c r="BC31" s="67"/>
      <c r="BD31" s="68">
        <f t="shared" si="185"/>
        <v>0</v>
      </c>
      <c r="BE31" s="64">
        <f>_xlfn.XLOOKUP($C31,Tb_DISTR.FIN[Nº  SS],Tb_DISTR.FIN[MAI.26],"0%",0,1)</f>
        <v>0.12</v>
      </c>
      <c r="BF31" s="51">
        <f t="shared" si="186"/>
        <v>146387.52788400001</v>
      </c>
      <c r="BG31" s="65">
        <f t="shared" si="157"/>
        <v>0.12</v>
      </c>
      <c r="BH31" s="66">
        <f t="shared" si="187"/>
        <v>146387.52788400001</v>
      </c>
      <c r="BI31" s="67"/>
      <c r="BJ31" s="68">
        <f t="shared" si="188"/>
        <v>0</v>
      </c>
      <c r="BK31" s="64">
        <f>_xlfn.XLOOKUP($C31,Tb_DISTR.FIN[Nº  SS],Tb_DISTR.FIN[JUN.26],"0%",0,1)</f>
        <v>0.22</v>
      </c>
      <c r="BL31" s="51">
        <f t="shared" si="189"/>
        <v>268377.13445400004</v>
      </c>
      <c r="BM31" s="65">
        <f t="shared" si="158"/>
        <v>0.22</v>
      </c>
      <c r="BN31" s="66">
        <f t="shared" si="190"/>
        <v>268377.13445400004</v>
      </c>
      <c r="BO31" s="67"/>
      <c r="BP31" s="68">
        <f t="shared" si="191"/>
        <v>0</v>
      </c>
      <c r="BQ31" s="64">
        <f>_xlfn.XLOOKUP($C31,Tb_DISTR.FIN[Nº  SS],Tb_DISTR.FIN[JUL.26],"0%",0,1)</f>
        <v>0</v>
      </c>
      <c r="BR31" s="51">
        <f t="shared" si="192"/>
        <v>0</v>
      </c>
      <c r="BS31" s="65">
        <f t="shared" si="159"/>
        <v>0</v>
      </c>
      <c r="BT31" s="66">
        <f t="shared" si="193"/>
        <v>0</v>
      </c>
      <c r="BU31" s="67"/>
      <c r="BV31" s="68">
        <f t="shared" si="194"/>
        <v>0</v>
      </c>
      <c r="BW31" s="64">
        <f>_xlfn.XLOOKUP($C31,Tb_DISTR.FIN[Nº  SS],Tb_DISTR.FIN[AGO.26],"0%",0,1)</f>
        <v>0</v>
      </c>
      <c r="BX31" s="51">
        <f t="shared" si="195"/>
        <v>0</v>
      </c>
      <c r="BY31" s="65">
        <f t="shared" si="160"/>
        <v>0</v>
      </c>
      <c r="BZ31" s="66">
        <f t="shared" si="196"/>
        <v>0</v>
      </c>
      <c r="CA31" s="67"/>
      <c r="CB31" s="68">
        <f t="shared" si="197"/>
        <v>0</v>
      </c>
    </row>
    <row r="32" spans="1:80" s="42" customFormat="1" ht="24" customHeight="1" x14ac:dyDescent="0.2">
      <c r="A32" s="58" t="s">
        <v>125</v>
      </c>
      <c r="B32" s="58" t="s">
        <v>313</v>
      </c>
      <c r="C32" s="59" t="s">
        <v>307</v>
      </c>
      <c r="D32" s="60" t="s">
        <v>318</v>
      </c>
      <c r="E32" s="61">
        <v>139993.07525999998</v>
      </c>
      <c r="F32" s="61">
        <f t="shared" si="161"/>
        <v>97995.152681999985</v>
      </c>
      <c r="G32" s="62">
        <f>IFERROR(((J32+P32+X32+AF32+AH32+AN32+AT32+AZ32+BF32+BL32+BR32+BX32)/E32),0)</f>
        <v>1</v>
      </c>
      <c r="H32" s="63">
        <f t="shared" si="162"/>
        <v>0.30000000000000004</v>
      </c>
      <c r="I32" s="64">
        <v>0</v>
      </c>
      <c r="J32" s="51">
        <f t="shared" si="163"/>
        <v>0</v>
      </c>
      <c r="K32" s="65">
        <v>0</v>
      </c>
      <c r="L32" s="66">
        <f t="shared" si="164"/>
        <v>0</v>
      </c>
      <c r="M32" s="67"/>
      <c r="N32" s="68"/>
      <c r="O32" s="64">
        <v>0</v>
      </c>
      <c r="P32" s="51">
        <f t="shared" si="165"/>
        <v>0</v>
      </c>
      <c r="Q32" s="65">
        <v>0</v>
      </c>
      <c r="R32" s="66">
        <f t="shared" si="166"/>
        <v>0</v>
      </c>
      <c r="S32" s="67">
        <v>0</v>
      </c>
      <c r="T32" s="68">
        <f t="shared" si="167"/>
        <v>0</v>
      </c>
      <c r="U32" s="64">
        <v>0</v>
      </c>
      <c r="V32" s="51">
        <f t="shared" si="168"/>
        <v>0</v>
      </c>
      <c r="W32" s="65">
        <v>0</v>
      </c>
      <c r="X32" s="66">
        <f t="shared" si="169"/>
        <v>0</v>
      </c>
      <c r="Y32" s="67">
        <v>0</v>
      </c>
      <c r="Z32" s="68">
        <f t="shared" si="170"/>
        <v>0</v>
      </c>
      <c r="AA32" s="64">
        <v>0</v>
      </c>
      <c r="AB32" s="51">
        <f t="shared" si="171"/>
        <v>0</v>
      </c>
      <c r="AC32" s="65">
        <f>_xlfn.XLOOKUP($C32,Tb_DISTR.FIN[Nº  SS],Tb_DISTR.FIN[DEZ.25],"0%",0,1)</f>
        <v>0.1</v>
      </c>
      <c r="AD32" s="66">
        <f t="shared" si="172"/>
        <v>13999.307525999999</v>
      </c>
      <c r="AE32" s="67">
        <v>0.1</v>
      </c>
      <c r="AF32" s="68">
        <f t="shared" si="173"/>
        <v>13999.307525999999</v>
      </c>
      <c r="AG32" s="64">
        <v>0.2</v>
      </c>
      <c r="AH32" s="51">
        <f t="shared" si="174"/>
        <v>27998.615051999997</v>
      </c>
      <c r="AI32" s="65">
        <v>0.2</v>
      </c>
      <c r="AJ32" s="66">
        <f t="shared" si="175"/>
        <v>27998.615051999997</v>
      </c>
      <c r="AK32" s="67">
        <f>_xlfn.XLOOKUP($C32,Tb_DISTR.FIN[Nº  SS],Tb_DISTR.FIN[JAN.26],"0%",0,1)</f>
        <v>0.2</v>
      </c>
      <c r="AL32" s="68">
        <f t="shared" si="176"/>
        <v>27998.615051999997</v>
      </c>
      <c r="AM32" s="64">
        <v>0</v>
      </c>
      <c r="AN32" s="51">
        <f t="shared" si="177"/>
        <v>0</v>
      </c>
      <c r="AO32" s="65">
        <f t="shared" si="154"/>
        <v>0</v>
      </c>
      <c r="AP32" s="66">
        <f t="shared" si="178"/>
        <v>0</v>
      </c>
      <c r="AQ32" s="67"/>
      <c r="AR32" s="68">
        <f t="shared" si="179"/>
        <v>0</v>
      </c>
      <c r="AS32" s="64">
        <f>_xlfn.XLOOKUP($C32,Tb_DISTR.FIN[Nº  SS],Tb_DISTR.FIN[MAR.26],"0%",0,1)</f>
        <v>0.15</v>
      </c>
      <c r="AT32" s="51">
        <f t="shared" si="180"/>
        <v>20998.961288999995</v>
      </c>
      <c r="AU32" s="65">
        <f t="shared" si="155"/>
        <v>0.15</v>
      </c>
      <c r="AV32" s="66">
        <f t="shared" si="181"/>
        <v>20998.961288999995</v>
      </c>
      <c r="AW32" s="67"/>
      <c r="AX32" s="68">
        <f t="shared" si="182"/>
        <v>0</v>
      </c>
      <c r="AY32" s="64">
        <f>_xlfn.XLOOKUP($C32,Tb_DISTR.FIN[Nº  SS],Tb_DISTR.FIN[ABR.26],"0%",0,1)</f>
        <v>0.3</v>
      </c>
      <c r="AZ32" s="51">
        <f t="shared" si="183"/>
        <v>41997.922577999991</v>
      </c>
      <c r="BA32" s="65">
        <f t="shared" si="156"/>
        <v>0.3</v>
      </c>
      <c r="BB32" s="66">
        <f t="shared" si="184"/>
        <v>41997.922577999991</v>
      </c>
      <c r="BC32" s="67"/>
      <c r="BD32" s="68">
        <f t="shared" si="185"/>
        <v>0</v>
      </c>
      <c r="BE32" s="64">
        <f>_xlfn.XLOOKUP($C32,Tb_DISTR.FIN[Nº  SS],Tb_DISTR.FIN[MAI.26],"0%",0,1)</f>
        <v>0.25</v>
      </c>
      <c r="BF32" s="51">
        <f t="shared" si="186"/>
        <v>34998.268814999996</v>
      </c>
      <c r="BG32" s="65">
        <f t="shared" si="157"/>
        <v>0.25</v>
      </c>
      <c r="BH32" s="66">
        <f t="shared" si="187"/>
        <v>34998.268814999996</v>
      </c>
      <c r="BI32" s="67"/>
      <c r="BJ32" s="68">
        <f t="shared" si="188"/>
        <v>0</v>
      </c>
      <c r="BK32" s="64">
        <f>_xlfn.XLOOKUP($C32,Tb_DISTR.FIN[Nº  SS],Tb_DISTR.FIN[JUN.26],"0%",0,1)</f>
        <v>0</v>
      </c>
      <c r="BL32" s="51">
        <f t="shared" si="189"/>
        <v>0</v>
      </c>
      <c r="BM32" s="65">
        <f t="shared" si="158"/>
        <v>0</v>
      </c>
      <c r="BN32" s="66">
        <f t="shared" si="190"/>
        <v>0</v>
      </c>
      <c r="BO32" s="67"/>
      <c r="BP32" s="68">
        <f t="shared" si="191"/>
        <v>0</v>
      </c>
      <c r="BQ32" s="64">
        <f>_xlfn.XLOOKUP($C32,Tb_DISTR.FIN[Nº  SS],Tb_DISTR.FIN[JUL.26],"0%",0,1)</f>
        <v>0</v>
      </c>
      <c r="BR32" s="51">
        <f t="shared" si="192"/>
        <v>0</v>
      </c>
      <c r="BS32" s="65">
        <f t="shared" si="159"/>
        <v>0</v>
      </c>
      <c r="BT32" s="66">
        <f t="shared" si="193"/>
        <v>0</v>
      </c>
      <c r="BU32" s="67"/>
      <c r="BV32" s="68">
        <f t="shared" si="194"/>
        <v>0</v>
      </c>
      <c r="BW32" s="64">
        <f>_xlfn.XLOOKUP($C32,Tb_DISTR.FIN[Nº  SS],Tb_DISTR.FIN[AGO.26],"0%",0,1)</f>
        <v>0</v>
      </c>
      <c r="BX32" s="51">
        <f t="shared" si="195"/>
        <v>0</v>
      </c>
      <c r="BY32" s="65">
        <f t="shared" si="160"/>
        <v>0</v>
      </c>
      <c r="BZ32" s="66">
        <f t="shared" si="196"/>
        <v>0</v>
      </c>
      <c r="CA32" s="67"/>
      <c r="CB32" s="68">
        <f t="shared" si="197"/>
        <v>0</v>
      </c>
    </row>
    <row r="33" spans="1:138" s="42" customFormat="1" ht="24" customHeight="1" x14ac:dyDescent="0.2">
      <c r="A33" s="287" t="s">
        <v>125</v>
      </c>
      <c r="B33" s="288" t="s">
        <v>314</v>
      </c>
      <c r="C33" s="289" t="s">
        <v>309</v>
      </c>
      <c r="D33" s="290" t="s">
        <v>319</v>
      </c>
      <c r="E33" s="291">
        <v>82272.567599999995</v>
      </c>
      <c r="F33" s="291">
        <f t="shared" si="161"/>
        <v>0</v>
      </c>
      <c r="G33" s="292">
        <f>IFERROR(((J33+P33+X33+AD33+AH33+AN33+AT33+AZ33+BF33+BL33+BR33+BX33)/E33),0)</f>
        <v>1</v>
      </c>
      <c r="H33" s="293">
        <f t="shared" si="162"/>
        <v>1</v>
      </c>
      <c r="I33" s="64">
        <v>0</v>
      </c>
      <c r="J33" s="51">
        <f t="shared" si="163"/>
        <v>0</v>
      </c>
      <c r="K33" s="65">
        <v>0</v>
      </c>
      <c r="L33" s="66">
        <f t="shared" si="164"/>
        <v>0</v>
      </c>
      <c r="M33" s="67"/>
      <c r="N33" s="68"/>
      <c r="O33" s="64">
        <v>0</v>
      </c>
      <c r="P33" s="51">
        <f t="shared" si="165"/>
        <v>0</v>
      </c>
      <c r="Q33" s="65">
        <v>0</v>
      </c>
      <c r="R33" s="66">
        <f t="shared" si="166"/>
        <v>0</v>
      </c>
      <c r="S33" s="67">
        <v>0</v>
      </c>
      <c r="T33" s="68">
        <f t="shared" si="167"/>
        <v>0</v>
      </c>
      <c r="U33" s="64">
        <v>0</v>
      </c>
      <c r="V33" s="51">
        <f t="shared" si="168"/>
        <v>0</v>
      </c>
      <c r="W33" s="65">
        <v>0</v>
      </c>
      <c r="X33" s="66">
        <f t="shared" si="169"/>
        <v>0</v>
      </c>
      <c r="Y33" s="67">
        <v>0</v>
      </c>
      <c r="Z33" s="68">
        <f t="shared" si="170"/>
        <v>0</v>
      </c>
      <c r="AA33" s="64">
        <v>0</v>
      </c>
      <c r="AB33" s="51">
        <f t="shared" si="171"/>
        <v>0</v>
      </c>
      <c r="AC33" s="65">
        <f>_xlfn.XLOOKUP($C33,Tb_DISTR.FIN[Nº  SS],Tb_DISTR.FIN[DEZ.25],"0%",0,1)</f>
        <v>1</v>
      </c>
      <c r="AD33" s="66">
        <f t="shared" si="172"/>
        <v>82272.567599999995</v>
      </c>
      <c r="AE33" s="67">
        <v>1</v>
      </c>
      <c r="AF33" s="68">
        <f t="shared" si="173"/>
        <v>82272.567599999995</v>
      </c>
      <c r="AG33" s="64">
        <v>0</v>
      </c>
      <c r="AH33" s="51">
        <f t="shared" si="174"/>
        <v>0</v>
      </c>
      <c r="AI33" s="65">
        <v>0</v>
      </c>
      <c r="AJ33" s="66">
        <f t="shared" si="175"/>
        <v>0</v>
      </c>
      <c r="AK33" s="67">
        <f>_xlfn.XLOOKUP($C33,Tb_DISTR.FIN[Nº  SS],Tb_DISTR.FIN[JAN.26],"0%",0,1)</f>
        <v>0</v>
      </c>
      <c r="AL33" s="68">
        <f t="shared" si="176"/>
        <v>0</v>
      </c>
      <c r="AM33" s="64">
        <v>0</v>
      </c>
      <c r="AN33" s="51">
        <f t="shared" si="177"/>
        <v>0</v>
      </c>
      <c r="AO33" s="65">
        <f t="shared" si="154"/>
        <v>0</v>
      </c>
      <c r="AP33" s="66">
        <f t="shared" si="178"/>
        <v>0</v>
      </c>
      <c r="AQ33" s="67"/>
      <c r="AR33" s="68">
        <f t="shared" si="179"/>
        <v>0</v>
      </c>
      <c r="AS33" s="64">
        <f>_xlfn.XLOOKUP($C33,Tb_DISTR.FIN[Nº  SS],Tb_DISTR.FIN[MAR.26],"0%",0,1)</f>
        <v>0</v>
      </c>
      <c r="AT33" s="51">
        <f t="shared" si="180"/>
        <v>0</v>
      </c>
      <c r="AU33" s="65">
        <f t="shared" si="155"/>
        <v>0</v>
      </c>
      <c r="AV33" s="66">
        <f t="shared" si="181"/>
        <v>0</v>
      </c>
      <c r="AW33" s="67"/>
      <c r="AX33" s="68">
        <f t="shared" si="182"/>
        <v>0</v>
      </c>
      <c r="AY33" s="64">
        <f>_xlfn.XLOOKUP($C33,Tb_DISTR.FIN[Nº  SS],Tb_DISTR.FIN[ABR.26],"0%",0,1)</f>
        <v>0</v>
      </c>
      <c r="AZ33" s="51">
        <f t="shared" si="183"/>
        <v>0</v>
      </c>
      <c r="BA33" s="65">
        <f t="shared" si="156"/>
        <v>0</v>
      </c>
      <c r="BB33" s="66">
        <f t="shared" si="184"/>
        <v>0</v>
      </c>
      <c r="BC33" s="67"/>
      <c r="BD33" s="68">
        <f t="shared" si="185"/>
        <v>0</v>
      </c>
      <c r="BE33" s="64">
        <f>_xlfn.XLOOKUP($C33,Tb_DISTR.FIN[Nº  SS],Tb_DISTR.FIN[MAI.26],"0%",0,1)</f>
        <v>0</v>
      </c>
      <c r="BF33" s="51">
        <f t="shared" si="186"/>
        <v>0</v>
      </c>
      <c r="BG33" s="65">
        <f t="shared" si="157"/>
        <v>0</v>
      </c>
      <c r="BH33" s="66">
        <f t="shared" si="187"/>
        <v>0</v>
      </c>
      <c r="BI33" s="67"/>
      <c r="BJ33" s="68">
        <f t="shared" si="188"/>
        <v>0</v>
      </c>
      <c r="BK33" s="64">
        <f>_xlfn.XLOOKUP($C33,Tb_DISTR.FIN[Nº  SS],Tb_DISTR.FIN[JUN.26],"0%",0,1)</f>
        <v>0</v>
      </c>
      <c r="BL33" s="51">
        <f t="shared" si="189"/>
        <v>0</v>
      </c>
      <c r="BM33" s="65">
        <f t="shared" si="158"/>
        <v>0</v>
      </c>
      <c r="BN33" s="66">
        <f t="shared" si="190"/>
        <v>0</v>
      </c>
      <c r="BO33" s="67"/>
      <c r="BP33" s="68">
        <f t="shared" si="191"/>
        <v>0</v>
      </c>
      <c r="BQ33" s="64">
        <f>_xlfn.XLOOKUP($C33,Tb_DISTR.FIN[Nº  SS],Tb_DISTR.FIN[JUL.26],"0%",0,1)</f>
        <v>0</v>
      </c>
      <c r="BR33" s="51">
        <f t="shared" si="192"/>
        <v>0</v>
      </c>
      <c r="BS33" s="65">
        <f t="shared" si="159"/>
        <v>0</v>
      </c>
      <c r="BT33" s="66">
        <f t="shared" si="193"/>
        <v>0</v>
      </c>
      <c r="BU33" s="67"/>
      <c r="BV33" s="68">
        <f t="shared" si="194"/>
        <v>0</v>
      </c>
      <c r="BW33" s="64">
        <f>_xlfn.XLOOKUP($C33,Tb_DISTR.FIN[Nº  SS],Tb_DISTR.FIN[AGO.26],"0%",0,1)</f>
        <v>0</v>
      </c>
      <c r="BX33" s="51">
        <f t="shared" si="195"/>
        <v>0</v>
      </c>
      <c r="BY33" s="65">
        <f t="shared" si="160"/>
        <v>0</v>
      </c>
      <c r="BZ33" s="66">
        <f t="shared" si="196"/>
        <v>0</v>
      </c>
      <c r="CA33" s="67"/>
      <c r="CB33" s="68">
        <f t="shared" si="197"/>
        <v>0</v>
      </c>
    </row>
    <row r="34" spans="1:138" s="42" customFormat="1" ht="24" customHeight="1" x14ac:dyDescent="0.2">
      <c r="A34" s="58" t="s">
        <v>125</v>
      </c>
      <c r="B34" s="58" t="s">
        <v>363</v>
      </c>
      <c r="C34" s="59" t="s">
        <v>344</v>
      </c>
      <c r="D34" s="60" t="s">
        <v>361</v>
      </c>
      <c r="E34" s="61">
        <v>128609.1378</v>
      </c>
      <c r="F34" s="61">
        <f t="shared" ref="F34:F35" si="198">IFERROR(E34-N34-T34-Z34-AF34-AL34-AR34-AX34-BD34-BJ34-BP34-BV34-CB34,0)</f>
        <v>0</v>
      </c>
      <c r="G34" s="62">
        <f t="shared" ref="G34:G35" si="199">IFERROR(((J34+P34+X34+AF34+AH34+AN34+AT34+AZ34+BF34+BL34+BR34+BX34)/E34),0)</f>
        <v>1</v>
      </c>
      <c r="H34" s="63">
        <f t="shared" ref="H34:H35" si="200">IFERROR(((E34-F34)/E34),0)</f>
        <v>1</v>
      </c>
      <c r="I34" s="64">
        <v>0</v>
      </c>
      <c r="J34" s="51">
        <f t="shared" ref="J34:J35" si="201">$E34*I34</f>
        <v>0</v>
      </c>
      <c r="K34" s="65">
        <v>0</v>
      </c>
      <c r="L34" s="66">
        <f t="shared" ref="L34:L35" si="202">$E34*K34</f>
        <v>0</v>
      </c>
      <c r="M34" s="67"/>
      <c r="N34" s="68"/>
      <c r="O34" s="64">
        <v>0</v>
      </c>
      <c r="P34" s="51">
        <f t="shared" ref="P34:P35" si="203">$E34*O34</f>
        <v>0</v>
      </c>
      <c r="Q34" s="65">
        <v>0</v>
      </c>
      <c r="R34" s="66">
        <f t="shared" ref="R34:R35" si="204">$E34*Q34</f>
        <v>0</v>
      </c>
      <c r="S34" s="67">
        <v>0</v>
      </c>
      <c r="T34" s="68">
        <f t="shared" ref="T34:T35" si="205">$E34*S34</f>
        <v>0</v>
      </c>
      <c r="U34" s="64">
        <v>0</v>
      </c>
      <c r="V34" s="51">
        <f t="shared" ref="V34:V35" si="206">$E34*U34</f>
        <v>0</v>
      </c>
      <c r="W34" s="65">
        <v>0</v>
      </c>
      <c r="X34" s="66">
        <f t="shared" ref="X34:X35" si="207">$E34*W34</f>
        <v>0</v>
      </c>
      <c r="Y34" s="67">
        <v>0</v>
      </c>
      <c r="Z34" s="68">
        <f t="shared" ref="Z34:Z35" si="208">$E34*Y34</f>
        <v>0</v>
      </c>
      <c r="AA34" s="64">
        <v>0</v>
      </c>
      <c r="AB34" s="51">
        <f t="shared" ref="AB34:AB35" si="209">$E34*AA34</f>
        <v>0</v>
      </c>
      <c r="AC34" s="65">
        <f>_xlfn.XLOOKUP($C34,Tb_DISTR.FIN[Nº  SS],Tb_DISTR.FIN[DEZ.25],"0%",0,1)</f>
        <v>0</v>
      </c>
      <c r="AD34" s="66">
        <f t="shared" ref="AD34:AD35" si="210">$E34*AC34</f>
        <v>0</v>
      </c>
      <c r="AE34" s="67"/>
      <c r="AF34" s="68">
        <f t="shared" si="173"/>
        <v>0</v>
      </c>
      <c r="AG34" s="64">
        <v>0</v>
      </c>
      <c r="AH34" s="51">
        <f t="shared" si="174"/>
        <v>0</v>
      </c>
      <c r="AI34" s="65">
        <f>_xlfn.XLOOKUP($C34,Tb_DISTR.FIN[Nº  SS],Tb_DISTR.FIN[DEZ.25],"0%",0,1)</f>
        <v>0</v>
      </c>
      <c r="AJ34" s="66">
        <f t="shared" si="175"/>
        <v>0</v>
      </c>
      <c r="AK34" s="67">
        <f>_xlfn.XLOOKUP($C34,Tb_DISTR.FIN[Nº  SS],Tb_DISTR.FIN[JAN.26],"0%",0,1)</f>
        <v>0</v>
      </c>
      <c r="AL34" s="68">
        <f t="shared" si="176"/>
        <v>0</v>
      </c>
      <c r="AM34" s="64">
        <v>1</v>
      </c>
      <c r="AN34" s="51">
        <f t="shared" ref="AN34:AN35" si="211">$E34*AM34</f>
        <v>128609.1378</v>
      </c>
      <c r="AO34" s="65">
        <f t="shared" ref="AO34:AO35" si="212">AM34</f>
        <v>1</v>
      </c>
      <c r="AP34" s="66">
        <f t="shared" ref="AP34:AP35" si="213">$E34*AO34</f>
        <v>128609.1378</v>
      </c>
      <c r="AQ34" s="67">
        <v>1</v>
      </c>
      <c r="AR34" s="68">
        <f t="shared" ref="AR34:AR35" si="214">$E34*AQ34</f>
        <v>128609.1378</v>
      </c>
      <c r="AS34" s="64">
        <f>_xlfn.XLOOKUP($C34,Tb_DISTR.FIN[Nº  SS],Tb_DISTR.FIN[MAR.26],"0%",0,1)</f>
        <v>0</v>
      </c>
      <c r="AT34" s="51">
        <f t="shared" ref="AT34:AT35" si="215">$E34*AS34</f>
        <v>0</v>
      </c>
      <c r="AU34" s="65">
        <f t="shared" ref="AU34:AU35" si="216">AS34</f>
        <v>0</v>
      </c>
      <c r="AV34" s="66">
        <f t="shared" ref="AV34:AV35" si="217">$E34*AU34</f>
        <v>0</v>
      </c>
      <c r="AW34" s="67"/>
      <c r="AX34" s="68">
        <f t="shared" ref="AX34:AX35" si="218">$E34*AW34</f>
        <v>0</v>
      </c>
      <c r="AY34" s="64">
        <f>_xlfn.XLOOKUP($C34,Tb_DISTR.FIN[Nº  SS],Tb_DISTR.FIN[ABR.26],"0%",0,1)</f>
        <v>0</v>
      </c>
      <c r="AZ34" s="51">
        <f t="shared" ref="AZ34:AZ35" si="219">$E34*AY34</f>
        <v>0</v>
      </c>
      <c r="BA34" s="65">
        <f t="shared" ref="BA34:BA35" si="220">AY34</f>
        <v>0</v>
      </c>
      <c r="BB34" s="66">
        <f t="shared" ref="BB34:BB35" si="221">$E34*BA34</f>
        <v>0</v>
      </c>
      <c r="BC34" s="67"/>
      <c r="BD34" s="68">
        <f t="shared" ref="BD34:BD35" si="222">$E34*BC34</f>
        <v>0</v>
      </c>
      <c r="BE34" s="64">
        <f>_xlfn.XLOOKUP($C34,Tb_DISTR.FIN[Nº  SS],Tb_DISTR.FIN[MAI.26],"0%",0,1)</f>
        <v>0</v>
      </c>
      <c r="BF34" s="51">
        <f t="shared" ref="BF34:BF35" si="223">$E34*BE34</f>
        <v>0</v>
      </c>
      <c r="BG34" s="65">
        <f t="shared" ref="BG34:BG35" si="224">BE34</f>
        <v>0</v>
      </c>
      <c r="BH34" s="66">
        <f t="shared" ref="BH34:BH35" si="225">$E34*BG34</f>
        <v>0</v>
      </c>
      <c r="BI34" s="67"/>
      <c r="BJ34" s="68">
        <f t="shared" ref="BJ34:BJ35" si="226">$E34*BI34</f>
        <v>0</v>
      </c>
      <c r="BK34" s="64">
        <f>_xlfn.XLOOKUP($C34,Tb_DISTR.FIN[Nº  SS],Tb_DISTR.FIN[JUN.26],"0%",0,1)</f>
        <v>0</v>
      </c>
      <c r="BL34" s="51">
        <f t="shared" ref="BL34:BL35" si="227">$E34*BK34</f>
        <v>0</v>
      </c>
      <c r="BM34" s="65">
        <f t="shared" ref="BM34:BM35" si="228">BK34</f>
        <v>0</v>
      </c>
      <c r="BN34" s="66">
        <f t="shared" ref="BN34:BN35" si="229">$E34*BM34</f>
        <v>0</v>
      </c>
      <c r="BO34" s="67"/>
      <c r="BP34" s="68">
        <f t="shared" ref="BP34:BP35" si="230">$E34*BO34</f>
        <v>0</v>
      </c>
      <c r="BQ34" s="64">
        <f>_xlfn.XLOOKUP($C34,Tb_DISTR.FIN[Nº  SS],Tb_DISTR.FIN[JUL.26],"0%",0,1)</f>
        <v>0</v>
      </c>
      <c r="BR34" s="51">
        <f t="shared" ref="BR34:BR35" si="231">$E34*BQ34</f>
        <v>0</v>
      </c>
      <c r="BS34" s="65">
        <f t="shared" ref="BS34:BS35" si="232">BQ34</f>
        <v>0</v>
      </c>
      <c r="BT34" s="66">
        <f t="shared" ref="BT34:BT35" si="233">$E34*BS34</f>
        <v>0</v>
      </c>
      <c r="BU34" s="67"/>
      <c r="BV34" s="68">
        <f t="shared" ref="BV34:BV35" si="234">$E34*BU34</f>
        <v>0</v>
      </c>
      <c r="BW34" s="64">
        <f>_xlfn.XLOOKUP($C34,Tb_DISTR.FIN[Nº  SS],Tb_DISTR.FIN[AGO.26],"0%",0,1)</f>
        <v>0</v>
      </c>
      <c r="BX34" s="51">
        <f t="shared" ref="BX34:BX35" si="235">$E34*BW34</f>
        <v>0</v>
      </c>
      <c r="BY34" s="65">
        <f t="shared" ref="BY34:BY35" si="236">BW34</f>
        <v>0</v>
      </c>
      <c r="BZ34" s="66">
        <f t="shared" ref="BZ34:BZ35" si="237">$E34*BY34</f>
        <v>0</v>
      </c>
      <c r="CA34" s="67"/>
      <c r="CB34" s="68">
        <f t="shared" ref="CB34:CB35" si="238">$E34*CA34</f>
        <v>0</v>
      </c>
    </row>
    <row r="35" spans="1:138" s="42" customFormat="1" ht="24" customHeight="1" x14ac:dyDescent="0.2">
      <c r="A35" s="58" t="s">
        <v>125</v>
      </c>
      <c r="B35" s="58" t="s">
        <v>363</v>
      </c>
      <c r="C35" s="59" t="s">
        <v>346</v>
      </c>
      <c r="D35" s="60" t="s">
        <v>362</v>
      </c>
      <c r="E35" s="61">
        <v>91628.333999999988</v>
      </c>
      <c r="F35" s="61">
        <f t="shared" si="198"/>
        <v>57725.850419999995</v>
      </c>
      <c r="G35" s="62">
        <f t="shared" si="199"/>
        <v>1.1300000000000001</v>
      </c>
      <c r="H35" s="63">
        <f t="shared" si="200"/>
        <v>0.37</v>
      </c>
      <c r="I35" s="64">
        <v>0</v>
      </c>
      <c r="J35" s="51">
        <f t="shared" si="201"/>
        <v>0</v>
      </c>
      <c r="K35" s="65">
        <v>0</v>
      </c>
      <c r="L35" s="66">
        <f t="shared" si="202"/>
        <v>0</v>
      </c>
      <c r="M35" s="67"/>
      <c r="N35" s="68"/>
      <c r="O35" s="64">
        <v>0</v>
      </c>
      <c r="P35" s="51">
        <f t="shared" si="203"/>
        <v>0</v>
      </c>
      <c r="Q35" s="65">
        <v>0</v>
      </c>
      <c r="R35" s="66">
        <f t="shared" si="204"/>
        <v>0</v>
      </c>
      <c r="S35" s="67">
        <v>0</v>
      </c>
      <c r="T35" s="68">
        <f t="shared" si="205"/>
        <v>0</v>
      </c>
      <c r="U35" s="64">
        <v>0</v>
      </c>
      <c r="V35" s="51">
        <f t="shared" si="206"/>
        <v>0</v>
      </c>
      <c r="W35" s="65">
        <v>0</v>
      </c>
      <c r="X35" s="66">
        <f t="shared" si="207"/>
        <v>0</v>
      </c>
      <c r="Y35" s="67">
        <v>0</v>
      </c>
      <c r="Z35" s="68">
        <f t="shared" si="208"/>
        <v>0</v>
      </c>
      <c r="AA35" s="64">
        <v>0</v>
      </c>
      <c r="AB35" s="51">
        <f t="shared" si="209"/>
        <v>0</v>
      </c>
      <c r="AC35" s="65">
        <f>_xlfn.XLOOKUP($C35,Tb_DISTR.FIN[Nº  SS],Tb_DISTR.FIN[DEZ.25],"0%",0,1)</f>
        <v>0</v>
      </c>
      <c r="AD35" s="66">
        <f t="shared" si="210"/>
        <v>0</v>
      </c>
      <c r="AE35" s="67"/>
      <c r="AF35" s="68">
        <f t="shared" si="173"/>
        <v>0</v>
      </c>
      <c r="AG35" s="64">
        <v>0</v>
      </c>
      <c r="AH35" s="51">
        <f t="shared" si="174"/>
        <v>0</v>
      </c>
      <c r="AI35" s="65">
        <f>_xlfn.XLOOKUP($C35,Tb_DISTR.FIN[Nº  SS],Tb_DISTR.FIN[DEZ.25],"0%",0,1)</f>
        <v>0</v>
      </c>
      <c r="AJ35" s="66">
        <f t="shared" si="175"/>
        <v>0</v>
      </c>
      <c r="AK35" s="67">
        <f>_xlfn.XLOOKUP($C35,Tb_DISTR.FIN[Nº  SS],Tb_DISTR.FIN[JAN.26],"0%",0,1)</f>
        <v>0</v>
      </c>
      <c r="AL35" s="68">
        <f t="shared" si="176"/>
        <v>0</v>
      </c>
      <c r="AM35" s="64">
        <v>0.5</v>
      </c>
      <c r="AN35" s="51">
        <f t="shared" si="211"/>
        <v>45814.166999999994</v>
      </c>
      <c r="AO35" s="65">
        <f t="shared" si="212"/>
        <v>0.5</v>
      </c>
      <c r="AP35" s="66">
        <f t="shared" si="213"/>
        <v>45814.166999999994</v>
      </c>
      <c r="AQ35" s="67">
        <v>0.37</v>
      </c>
      <c r="AR35" s="68">
        <f t="shared" si="214"/>
        <v>33902.483579999993</v>
      </c>
      <c r="AS35" s="64">
        <f>_xlfn.XLOOKUP($C35,Tb_DISTR.FIN[Nº  SS],Tb_DISTR.FIN[MAR.26],"0%",0,1)</f>
        <v>0.23</v>
      </c>
      <c r="AT35" s="51">
        <f t="shared" si="215"/>
        <v>21074.516819999997</v>
      </c>
      <c r="AU35" s="65">
        <f t="shared" si="216"/>
        <v>0.23</v>
      </c>
      <c r="AV35" s="66">
        <f t="shared" si="217"/>
        <v>21074.516819999997</v>
      </c>
      <c r="AW35" s="67"/>
      <c r="AX35" s="68">
        <f t="shared" si="218"/>
        <v>0</v>
      </c>
      <c r="AY35" s="64">
        <f>_xlfn.XLOOKUP($C35,Tb_DISTR.FIN[Nº  SS],Tb_DISTR.FIN[ABR.26],"0%",0,1)</f>
        <v>0.4</v>
      </c>
      <c r="AZ35" s="51">
        <f t="shared" si="219"/>
        <v>36651.333599999998</v>
      </c>
      <c r="BA35" s="65">
        <f t="shared" si="220"/>
        <v>0.4</v>
      </c>
      <c r="BB35" s="66">
        <f t="shared" si="221"/>
        <v>36651.333599999998</v>
      </c>
      <c r="BC35" s="67"/>
      <c r="BD35" s="68">
        <f t="shared" si="222"/>
        <v>0</v>
      </c>
      <c r="BE35" s="64">
        <f>_xlfn.XLOOKUP($C35,Tb_DISTR.FIN[Nº  SS],Tb_DISTR.FIN[MAI.26],"0%",0,1)</f>
        <v>0</v>
      </c>
      <c r="BF35" s="51">
        <f t="shared" si="223"/>
        <v>0</v>
      </c>
      <c r="BG35" s="65">
        <f t="shared" si="224"/>
        <v>0</v>
      </c>
      <c r="BH35" s="66">
        <f t="shared" si="225"/>
        <v>0</v>
      </c>
      <c r="BI35" s="67"/>
      <c r="BJ35" s="68">
        <f t="shared" si="226"/>
        <v>0</v>
      </c>
      <c r="BK35" s="64">
        <f>_xlfn.XLOOKUP($C35,Tb_DISTR.FIN[Nº  SS],Tb_DISTR.FIN[JUN.26],"0%",0,1)</f>
        <v>0</v>
      </c>
      <c r="BL35" s="51">
        <f t="shared" si="227"/>
        <v>0</v>
      </c>
      <c r="BM35" s="65">
        <f t="shared" si="228"/>
        <v>0</v>
      </c>
      <c r="BN35" s="66">
        <f t="shared" si="229"/>
        <v>0</v>
      </c>
      <c r="BO35" s="67"/>
      <c r="BP35" s="68">
        <f t="shared" si="230"/>
        <v>0</v>
      </c>
      <c r="BQ35" s="64">
        <f>_xlfn.XLOOKUP($C35,Tb_DISTR.FIN[Nº  SS],Tb_DISTR.FIN[JUL.26],"0%",0,1)</f>
        <v>0</v>
      </c>
      <c r="BR35" s="51">
        <f t="shared" si="231"/>
        <v>0</v>
      </c>
      <c r="BS35" s="65">
        <f t="shared" si="232"/>
        <v>0</v>
      </c>
      <c r="BT35" s="66">
        <f t="shared" si="233"/>
        <v>0</v>
      </c>
      <c r="BU35" s="67"/>
      <c r="BV35" s="68">
        <f t="shared" si="234"/>
        <v>0</v>
      </c>
      <c r="BW35" s="64">
        <f>_xlfn.XLOOKUP($C35,Tb_DISTR.FIN[Nº  SS],Tb_DISTR.FIN[AGO.26],"0%",0,1)</f>
        <v>0</v>
      </c>
      <c r="BX35" s="51">
        <f t="shared" si="235"/>
        <v>0</v>
      </c>
      <c r="BY35" s="65">
        <f t="shared" si="236"/>
        <v>0</v>
      </c>
      <c r="BZ35" s="66">
        <f t="shared" si="237"/>
        <v>0</v>
      </c>
      <c r="CA35" s="67"/>
      <c r="CB35" s="68">
        <f t="shared" si="238"/>
        <v>0</v>
      </c>
    </row>
    <row r="36" spans="1:138" s="42" customFormat="1" ht="24" customHeight="1" x14ac:dyDescent="0.2">
      <c r="A36" s="58" t="s">
        <v>125</v>
      </c>
      <c r="B36" s="58" t="s">
        <v>385</v>
      </c>
      <c r="C36" s="59" t="s">
        <v>377</v>
      </c>
      <c r="D36" s="60" t="s">
        <v>388</v>
      </c>
      <c r="E36" s="61">
        <v>467937.02681999997</v>
      </c>
      <c r="F36" s="61">
        <f t="shared" ref="F36" si="239">IFERROR(E36-N36-T36-Z36-AF36-AL36-AR36-AX36-BD36-BJ36-BP36-BV36-CB36,0)</f>
        <v>421143.32413799997</v>
      </c>
      <c r="G36" s="62">
        <f t="shared" ref="G36" si="240">IFERROR(((J36+P36+X36+AF36+AH36+AN36+AT36+AZ36+BF36+BL36+BR36+BX36)/E36),0)</f>
        <v>0.9</v>
      </c>
      <c r="H36" s="63">
        <f t="shared" ref="H36" si="241">IFERROR(((E36-F36)/E36),0)</f>
        <v>0.1</v>
      </c>
      <c r="I36" s="64">
        <v>0</v>
      </c>
      <c r="J36" s="51">
        <f t="shared" ref="J36" si="242">$E36*I36</f>
        <v>0</v>
      </c>
      <c r="K36" s="65">
        <v>0</v>
      </c>
      <c r="L36" s="66">
        <f t="shared" ref="L36" si="243">$E36*K36</f>
        <v>0</v>
      </c>
      <c r="M36" s="67"/>
      <c r="N36" s="68"/>
      <c r="O36" s="64">
        <v>0</v>
      </c>
      <c r="P36" s="51">
        <f t="shared" ref="P36" si="244">$E36*O36</f>
        <v>0</v>
      </c>
      <c r="Q36" s="65">
        <v>0</v>
      </c>
      <c r="R36" s="66">
        <f t="shared" ref="R36" si="245">$E36*Q36</f>
        <v>0</v>
      </c>
      <c r="S36" s="67">
        <v>0</v>
      </c>
      <c r="T36" s="68">
        <f t="shared" ref="T36" si="246">$E36*S36</f>
        <v>0</v>
      </c>
      <c r="U36" s="64">
        <v>0</v>
      </c>
      <c r="V36" s="51">
        <f t="shared" ref="V36" si="247">$E36*U36</f>
        <v>0</v>
      </c>
      <c r="W36" s="65">
        <v>0</v>
      </c>
      <c r="X36" s="66">
        <f t="shared" ref="X36" si="248">$E36*W36</f>
        <v>0</v>
      </c>
      <c r="Y36" s="67">
        <v>0</v>
      </c>
      <c r="Z36" s="68">
        <f t="shared" ref="Z36" si="249">$E36*Y36</f>
        <v>0</v>
      </c>
      <c r="AA36" s="64">
        <v>0</v>
      </c>
      <c r="AB36" s="51">
        <f t="shared" ref="AB36" si="250">$E36*AA36</f>
        <v>0</v>
      </c>
      <c r="AC36" s="65">
        <f>_xlfn.XLOOKUP($C36,Tb_DISTR.FIN[Nº  SS],Tb_DISTR.FIN[DEZ.25],"0%",0,1)</f>
        <v>0</v>
      </c>
      <c r="AD36" s="66">
        <f t="shared" ref="AD36" si="251">$E36*AC36</f>
        <v>0</v>
      </c>
      <c r="AE36" s="67"/>
      <c r="AF36" s="68">
        <f t="shared" ref="AF36" si="252">$E36*AE36</f>
        <v>0</v>
      </c>
      <c r="AG36" s="64">
        <v>0</v>
      </c>
      <c r="AH36" s="51">
        <f t="shared" ref="AH36" si="253">$E36*AG36</f>
        <v>0</v>
      </c>
      <c r="AI36" s="65">
        <f>_xlfn.XLOOKUP($C36,Tb_DISTR.FIN[Nº  SS],Tb_DISTR.FIN[DEZ.25],"0%",0,1)</f>
        <v>0</v>
      </c>
      <c r="AJ36" s="66">
        <f t="shared" ref="AJ36" si="254">$E36*AI36</f>
        <v>0</v>
      </c>
      <c r="AK36" s="67">
        <f>_xlfn.XLOOKUP($C36,Tb_DISTR.FIN[Nº  SS],Tb_DISTR.FIN[JAN.26],"0%",0,1)</f>
        <v>0</v>
      </c>
      <c r="AL36" s="68">
        <f t="shared" ref="AL36" si="255">$E36*AK36</f>
        <v>0</v>
      </c>
      <c r="AM36" s="64">
        <v>0</v>
      </c>
      <c r="AN36" s="51">
        <f t="shared" ref="AN36" si="256">$E36*AM36</f>
        <v>0</v>
      </c>
      <c r="AO36" s="65">
        <f t="shared" ref="AO36" si="257">AM36</f>
        <v>0</v>
      </c>
      <c r="AP36" s="66">
        <f t="shared" ref="AP36" si="258">$E36*AO36</f>
        <v>0</v>
      </c>
      <c r="AQ36" s="67">
        <v>0.1</v>
      </c>
      <c r="AR36" s="68">
        <f t="shared" ref="AR36" si="259">$E36*AQ36</f>
        <v>46793.702682000003</v>
      </c>
      <c r="AS36" s="64">
        <f>_xlfn.XLOOKUP($C36,Tb_DISTR.FIN[Nº  SS],Tb_DISTR.FIN[MAR.26],"0%",0,1)</f>
        <v>0</v>
      </c>
      <c r="AT36" s="51">
        <f t="shared" ref="AT36" si="260">$E36*AS36</f>
        <v>0</v>
      </c>
      <c r="AU36" s="65">
        <f t="shared" ref="AU36" si="261">AS36</f>
        <v>0</v>
      </c>
      <c r="AV36" s="66">
        <f t="shared" ref="AV36" si="262">$E36*AU36</f>
        <v>0</v>
      </c>
      <c r="AW36" s="67"/>
      <c r="AX36" s="68">
        <f t="shared" ref="AX36" si="263">$E36*AW36</f>
        <v>0</v>
      </c>
      <c r="AY36" s="64">
        <f>_xlfn.XLOOKUP($C36,Tb_DISTR.FIN[Nº  SS],Tb_DISTR.FIN[ABR.26],"0%",0,1)</f>
        <v>0.25</v>
      </c>
      <c r="AZ36" s="51">
        <f t="shared" ref="AZ36" si="264">$E36*AY36</f>
        <v>116984.25670499999</v>
      </c>
      <c r="BA36" s="65">
        <f t="shared" ref="BA36" si="265">AY36</f>
        <v>0.25</v>
      </c>
      <c r="BB36" s="66">
        <f t="shared" ref="BB36" si="266">$E36*BA36</f>
        <v>116984.25670499999</v>
      </c>
      <c r="BC36" s="67"/>
      <c r="BD36" s="68">
        <f t="shared" ref="BD36" si="267">$E36*BC36</f>
        <v>0</v>
      </c>
      <c r="BE36" s="64">
        <f>_xlfn.XLOOKUP($C36,Tb_DISTR.FIN[Nº  SS],Tb_DISTR.FIN[MAI.26],"0%",0,1)</f>
        <v>0.23</v>
      </c>
      <c r="BF36" s="51">
        <f t="shared" ref="BF36" si="268">$E36*BE36</f>
        <v>107625.51616859999</v>
      </c>
      <c r="BG36" s="65">
        <f t="shared" ref="BG36" si="269">BE36</f>
        <v>0.23</v>
      </c>
      <c r="BH36" s="66">
        <f t="shared" ref="BH36" si="270">$E36*BG36</f>
        <v>107625.51616859999</v>
      </c>
      <c r="BI36" s="67"/>
      <c r="BJ36" s="68">
        <f t="shared" ref="BJ36" si="271">$E36*BI36</f>
        <v>0</v>
      </c>
      <c r="BK36" s="64">
        <f>_xlfn.XLOOKUP($C36,Tb_DISTR.FIN[Nº  SS],Tb_DISTR.FIN[JUN.26],"0%",0,1)</f>
        <v>0.13</v>
      </c>
      <c r="BL36" s="51">
        <f t="shared" ref="BL36" si="272">$E36*BK36</f>
        <v>60831.813486599996</v>
      </c>
      <c r="BM36" s="65">
        <f t="shared" ref="BM36" si="273">BK36</f>
        <v>0.13</v>
      </c>
      <c r="BN36" s="66">
        <f t="shared" ref="BN36" si="274">$E36*BM36</f>
        <v>60831.813486599996</v>
      </c>
      <c r="BO36" s="67"/>
      <c r="BP36" s="68">
        <f t="shared" ref="BP36" si="275">$E36*BO36</f>
        <v>0</v>
      </c>
      <c r="BQ36" s="64">
        <f>_xlfn.XLOOKUP($C36,Tb_DISTR.FIN[Nº  SS],Tb_DISTR.FIN[JUL.26],"0%",0,1)</f>
        <v>0.13</v>
      </c>
      <c r="BR36" s="51">
        <f t="shared" ref="BR36" si="276">$E36*BQ36</f>
        <v>60831.813486599996</v>
      </c>
      <c r="BS36" s="65">
        <f t="shared" ref="BS36" si="277">BQ36</f>
        <v>0.13</v>
      </c>
      <c r="BT36" s="66">
        <f t="shared" ref="BT36" si="278">$E36*BS36</f>
        <v>60831.813486599996</v>
      </c>
      <c r="BU36" s="67"/>
      <c r="BV36" s="68">
        <f t="shared" ref="BV36" si="279">$E36*BU36</f>
        <v>0</v>
      </c>
      <c r="BW36" s="64">
        <f>_xlfn.XLOOKUP($C36,Tb_DISTR.FIN[Nº  SS],Tb_DISTR.FIN[AGO.26],"0%",0,1)</f>
        <v>0.16</v>
      </c>
      <c r="BX36" s="51">
        <f t="shared" ref="BX36" si="280">$E36*BW36</f>
        <v>74869.92429119999</v>
      </c>
      <c r="BY36" s="65">
        <f t="shared" ref="BY36" si="281">BW36</f>
        <v>0.16</v>
      </c>
      <c r="BZ36" s="66">
        <f t="shared" ref="BZ36" si="282">$E36*BY36</f>
        <v>74869.92429119999</v>
      </c>
      <c r="CA36" s="67"/>
      <c r="CB36" s="68">
        <f t="shared" ref="CB36" si="283">$E36*CA36</f>
        <v>0</v>
      </c>
    </row>
    <row r="37" spans="1:138" s="42" customFormat="1" ht="24" customHeight="1" x14ac:dyDescent="0.2">
      <c r="A37" s="58" t="s">
        <v>125</v>
      </c>
      <c r="B37" s="58" t="s">
        <v>386</v>
      </c>
      <c r="C37" s="59" t="s">
        <v>378</v>
      </c>
      <c r="D37" s="60" t="s">
        <v>389</v>
      </c>
      <c r="E37" s="61">
        <v>0</v>
      </c>
      <c r="F37" s="61">
        <f t="shared" ref="F37" si="284">IFERROR(E37-N37-T37-Z37-AF37-AL37-AR37-AX37-BD37-BJ37-BP37-BV37-CB37,0)</f>
        <v>0</v>
      </c>
      <c r="G37" s="62">
        <f t="shared" ref="G37" si="285">IFERROR(((J37+P37+X37+AF37+AH37+AN37+AT37+AZ37+BF37+BL37+BR37+BX37)/E37),0)</f>
        <v>0</v>
      </c>
      <c r="H37" s="63">
        <f t="shared" ref="H37" si="286">IFERROR(((E37-F37)/E37),0)</f>
        <v>0</v>
      </c>
      <c r="I37" s="64">
        <v>0</v>
      </c>
      <c r="J37" s="51">
        <f t="shared" ref="J37" si="287">$E37*I37</f>
        <v>0</v>
      </c>
      <c r="K37" s="65">
        <v>0</v>
      </c>
      <c r="L37" s="66">
        <f t="shared" ref="L37" si="288">$E37*K37</f>
        <v>0</v>
      </c>
      <c r="M37" s="67"/>
      <c r="N37" s="68"/>
      <c r="O37" s="64">
        <v>0</v>
      </c>
      <c r="P37" s="51">
        <f t="shared" ref="P37" si="289">$E37*O37</f>
        <v>0</v>
      </c>
      <c r="Q37" s="65">
        <v>0</v>
      </c>
      <c r="R37" s="66">
        <f t="shared" ref="R37" si="290">$E37*Q37</f>
        <v>0</v>
      </c>
      <c r="S37" s="67">
        <v>0</v>
      </c>
      <c r="T37" s="68">
        <f t="shared" ref="T37" si="291">$E37*S37</f>
        <v>0</v>
      </c>
      <c r="U37" s="64">
        <v>0</v>
      </c>
      <c r="V37" s="51">
        <f t="shared" ref="V37" si="292">$E37*U37</f>
        <v>0</v>
      </c>
      <c r="W37" s="65">
        <v>0</v>
      </c>
      <c r="X37" s="66">
        <f t="shared" ref="X37" si="293">$E37*W37</f>
        <v>0</v>
      </c>
      <c r="Y37" s="67">
        <v>0</v>
      </c>
      <c r="Z37" s="68">
        <f t="shared" ref="Z37" si="294">$E37*Y37</f>
        <v>0</v>
      </c>
      <c r="AA37" s="64">
        <v>0</v>
      </c>
      <c r="AB37" s="51">
        <f t="shared" ref="AB37" si="295">$E37*AA37</f>
        <v>0</v>
      </c>
      <c r="AC37" s="65">
        <f>_xlfn.XLOOKUP($C37,Tb_DISTR.FIN[Nº  SS],Tb_DISTR.FIN[DEZ.25],"0%",0,1)</f>
        <v>0</v>
      </c>
      <c r="AD37" s="66">
        <f t="shared" ref="AD37" si="296">$E37*AC37</f>
        <v>0</v>
      </c>
      <c r="AE37" s="67"/>
      <c r="AF37" s="68">
        <f t="shared" ref="AF37" si="297">$E37*AE37</f>
        <v>0</v>
      </c>
      <c r="AG37" s="64">
        <v>0</v>
      </c>
      <c r="AH37" s="51">
        <f t="shared" ref="AH37" si="298">$E37*AG37</f>
        <v>0</v>
      </c>
      <c r="AI37" s="65">
        <f>_xlfn.XLOOKUP($C37,Tb_DISTR.FIN[Nº  SS],Tb_DISTR.FIN[DEZ.25],"0%",0,1)</f>
        <v>0</v>
      </c>
      <c r="AJ37" s="66">
        <f t="shared" ref="AJ37" si="299">$E37*AI37</f>
        <v>0</v>
      </c>
      <c r="AK37" s="67">
        <f>_xlfn.XLOOKUP($C37,Tb_DISTR.FIN[Nº  SS],Tb_DISTR.FIN[JAN.26],"0%",0,1)</f>
        <v>0</v>
      </c>
      <c r="AL37" s="68">
        <f t="shared" ref="AL37" si="300">$E37*AK37</f>
        <v>0</v>
      </c>
      <c r="AM37" s="64">
        <v>0</v>
      </c>
      <c r="AN37" s="51">
        <f t="shared" ref="AN37" si="301">$E37*AM37</f>
        <v>0</v>
      </c>
      <c r="AO37" s="65">
        <f t="shared" ref="AO37" si="302">AM37</f>
        <v>0</v>
      </c>
      <c r="AP37" s="66">
        <f t="shared" ref="AP37" si="303">$E37*AO37</f>
        <v>0</v>
      </c>
      <c r="AQ37" s="67">
        <v>0</v>
      </c>
      <c r="AR37" s="68">
        <f t="shared" ref="AR37" si="304">$E37*AQ37</f>
        <v>0</v>
      </c>
      <c r="AS37" s="64">
        <f>_xlfn.XLOOKUP($C37,Tb_DISTR.FIN[Nº  SS],Tb_DISTR.FIN[MAR.26],"0%",0,1)</f>
        <v>0</v>
      </c>
      <c r="AT37" s="51">
        <f t="shared" ref="AT37" si="305">$E37*AS37</f>
        <v>0</v>
      </c>
      <c r="AU37" s="65">
        <f t="shared" ref="AU37" si="306">AS37</f>
        <v>0</v>
      </c>
      <c r="AV37" s="66">
        <f t="shared" ref="AV37" si="307">$E37*AU37</f>
        <v>0</v>
      </c>
      <c r="AW37" s="67"/>
      <c r="AX37" s="68">
        <f t="shared" ref="AX37" si="308">$E37*AW37</f>
        <v>0</v>
      </c>
      <c r="AY37" s="64">
        <f>_xlfn.XLOOKUP($C37,Tb_DISTR.FIN[Nº  SS],Tb_DISTR.FIN[ABR.26],"0%",0,1)</f>
        <v>0</v>
      </c>
      <c r="AZ37" s="51">
        <f t="shared" ref="AZ37" si="309">$E37*AY37</f>
        <v>0</v>
      </c>
      <c r="BA37" s="65">
        <f t="shared" ref="BA37" si="310">AY37</f>
        <v>0</v>
      </c>
      <c r="BB37" s="66">
        <f t="shared" ref="BB37" si="311">$E37*BA37</f>
        <v>0</v>
      </c>
      <c r="BC37" s="67"/>
      <c r="BD37" s="68">
        <f t="shared" ref="BD37" si="312">$E37*BC37</f>
        <v>0</v>
      </c>
      <c r="BE37" s="64">
        <f>_xlfn.XLOOKUP($C37,Tb_DISTR.FIN[Nº  SS],Tb_DISTR.FIN[MAI.26],"0%",0,1)</f>
        <v>0</v>
      </c>
      <c r="BF37" s="51">
        <f t="shared" ref="BF37" si="313">$E37*BE37</f>
        <v>0</v>
      </c>
      <c r="BG37" s="65">
        <f t="shared" ref="BG37" si="314">BE37</f>
        <v>0</v>
      </c>
      <c r="BH37" s="66">
        <f t="shared" ref="BH37" si="315">$E37*BG37</f>
        <v>0</v>
      </c>
      <c r="BI37" s="67"/>
      <c r="BJ37" s="68">
        <f t="shared" ref="BJ37" si="316">$E37*BI37</f>
        <v>0</v>
      </c>
      <c r="BK37" s="64">
        <f>_xlfn.XLOOKUP($C37,Tb_DISTR.FIN[Nº  SS],Tb_DISTR.FIN[JUN.26],"0%",0,1)</f>
        <v>0</v>
      </c>
      <c r="BL37" s="51">
        <f t="shared" ref="BL37" si="317">$E37*BK37</f>
        <v>0</v>
      </c>
      <c r="BM37" s="65">
        <f t="shared" ref="BM37" si="318">BK37</f>
        <v>0</v>
      </c>
      <c r="BN37" s="66">
        <f t="shared" ref="BN37" si="319">$E37*BM37</f>
        <v>0</v>
      </c>
      <c r="BO37" s="67"/>
      <c r="BP37" s="68">
        <f t="shared" ref="BP37" si="320">$E37*BO37</f>
        <v>0</v>
      </c>
      <c r="BQ37" s="64">
        <f>_xlfn.XLOOKUP($C37,Tb_DISTR.FIN[Nº  SS],Tb_DISTR.FIN[JUL.26],"0%",0,1)</f>
        <v>0</v>
      </c>
      <c r="BR37" s="51">
        <f t="shared" ref="BR37" si="321">$E37*BQ37</f>
        <v>0</v>
      </c>
      <c r="BS37" s="65">
        <f t="shared" ref="BS37" si="322">BQ37</f>
        <v>0</v>
      </c>
      <c r="BT37" s="66">
        <f t="shared" ref="BT37" si="323">$E37*BS37</f>
        <v>0</v>
      </c>
      <c r="BU37" s="67"/>
      <c r="BV37" s="68">
        <f t="shared" ref="BV37" si="324">$E37*BU37</f>
        <v>0</v>
      </c>
      <c r="BW37" s="64">
        <f>_xlfn.XLOOKUP($C37,Tb_DISTR.FIN[Nº  SS],Tb_DISTR.FIN[AGO.26],"0%",0,1)</f>
        <v>0</v>
      </c>
      <c r="BX37" s="51">
        <f t="shared" ref="BX37" si="325">$E37*BW37</f>
        <v>0</v>
      </c>
      <c r="BY37" s="65">
        <f t="shared" ref="BY37" si="326">BW37</f>
        <v>0</v>
      </c>
      <c r="BZ37" s="66">
        <f t="shared" ref="BZ37" si="327">$E37*BY37</f>
        <v>0</v>
      </c>
      <c r="CA37" s="67"/>
      <c r="CB37" s="68">
        <f t="shared" ref="CB37" si="328">$E37*CA37</f>
        <v>0</v>
      </c>
    </row>
    <row r="38" spans="1:138" s="42" customFormat="1" ht="24" customHeight="1" x14ac:dyDescent="0.2">
      <c r="A38" s="58" t="s">
        <v>125</v>
      </c>
      <c r="B38" s="58" t="s">
        <v>387</v>
      </c>
      <c r="C38" s="59" t="s">
        <v>379</v>
      </c>
      <c r="D38" s="60" t="s">
        <v>390</v>
      </c>
      <c r="E38" s="61">
        <v>348499.33019999997</v>
      </c>
      <c r="F38" s="61">
        <f t="shared" ref="F38" si="329">IFERROR(E38-N38-T38-Z38-AF38-AL38-AR38-AX38-BD38-BJ38-BP38-BV38-CB38,0)</f>
        <v>313649.39717999997</v>
      </c>
      <c r="G38" s="62">
        <f t="shared" ref="G38" si="330">IFERROR(((J38+P38+X38+AF38+AH38+AN38+AT38+AZ38+BF38+BL38+BR38+BX38)/E38),0)</f>
        <v>0.55999999999999994</v>
      </c>
      <c r="H38" s="63">
        <f t="shared" ref="H38" si="331">IFERROR(((E38-F38)/E38),0)</f>
        <v>0.1</v>
      </c>
      <c r="I38" s="64">
        <v>0</v>
      </c>
      <c r="J38" s="51">
        <f t="shared" ref="J38" si="332">$E38*I38</f>
        <v>0</v>
      </c>
      <c r="K38" s="65">
        <v>0</v>
      </c>
      <c r="L38" s="66">
        <f t="shared" ref="L38" si="333">$E38*K38</f>
        <v>0</v>
      </c>
      <c r="M38" s="67"/>
      <c r="N38" s="68"/>
      <c r="O38" s="64">
        <v>0</v>
      </c>
      <c r="P38" s="51">
        <f t="shared" ref="P38" si="334">$E38*O38</f>
        <v>0</v>
      </c>
      <c r="Q38" s="65">
        <v>0</v>
      </c>
      <c r="R38" s="66">
        <f t="shared" ref="R38" si="335">$E38*Q38</f>
        <v>0</v>
      </c>
      <c r="S38" s="67">
        <v>0</v>
      </c>
      <c r="T38" s="68">
        <f t="shared" ref="T38" si="336">$E38*S38</f>
        <v>0</v>
      </c>
      <c r="U38" s="64">
        <v>0</v>
      </c>
      <c r="V38" s="51">
        <f t="shared" ref="V38" si="337">$E38*U38</f>
        <v>0</v>
      </c>
      <c r="W38" s="65">
        <v>0</v>
      </c>
      <c r="X38" s="66">
        <f t="shared" ref="X38" si="338">$E38*W38</f>
        <v>0</v>
      </c>
      <c r="Y38" s="67">
        <v>0</v>
      </c>
      <c r="Z38" s="68">
        <f t="shared" ref="Z38" si="339">$E38*Y38</f>
        <v>0</v>
      </c>
      <c r="AA38" s="64">
        <v>0</v>
      </c>
      <c r="AB38" s="51">
        <f t="shared" ref="AB38" si="340">$E38*AA38</f>
        <v>0</v>
      </c>
      <c r="AC38" s="65">
        <f>_xlfn.XLOOKUP($C38,Tb_DISTR.FIN[Nº  SS],Tb_DISTR.FIN[DEZ.25],"0%",0,1)</f>
        <v>0</v>
      </c>
      <c r="AD38" s="66">
        <f t="shared" ref="AD38" si="341">$E38*AC38</f>
        <v>0</v>
      </c>
      <c r="AE38" s="67"/>
      <c r="AF38" s="68">
        <f t="shared" ref="AF38" si="342">$E38*AE38</f>
        <v>0</v>
      </c>
      <c r="AG38" s="64">
        <v>0</v>
      </c>
      <c r="AH38" s="51">
        <f t="shared" ref="AH38" si="343">$E38*AG38</f>
        <v>0</v>
      </c>
      <c r="AI38" s="65">
        <f>_xlfn.XLOOKUP($C38,Tb_DISTR.FIN[Nº  SS],Tb_DISTR.FIN[DEZ.25],"0%",0,1)</f>
        <v>0</v>
      </c>
      <c r="AJ38" s="66">
        <f t="shared" ref="AJ38" si="344">$E38*AI38</f>
        <v>0</v>
      </c>
      <c r="AK38" s="67">
        <f>_xlfn.XLOOKUP($C38,Tb_DISTR.FIN[Nº  SS],Tb_DISTR.FIN[JAN.26],"0%",0,1)</f>
        <v>0</v>
      </c>
      <c r="AL38" s="68">
        <f t="shared" ref="AL38" si="345">$E38*AK38</f>
        <v>0</v>
      </c>
      <c r="AM38" s="64">
        <v>0</v>
      </c>
      <c r="AN38" s="51">
        <f t="shared" ref="AN38" si="346">$E38*AM38</f>
        <v>0</v>
      </c>
      <c r="AO38" s="65">
        <f t="shared" ref="AO38" si="347">AM38</f>
        <v>0</v>
      </c>
      <c r="AP38" s="66">
        <f t="shared" ref="AP38" si="348">$E38*AO38</f>
        <v>0</v>
      </c>
      <c r="AQ38" s="67">
        <v>0.1</v>
      </c>
      <c r="AR38" s="68">
        <f t="shared" ref="AR38" si="349">$E38*AQ38</f>
        <v>34849.933019999997</v>
      </c>
      <c r="AS38" s="64">
        <f>_xlfn.XLOOKUP($C38,Tb_DISTR.FIN[Nº  SS],Tb_DISTR.FIN[MAR.26],"0%",0,1)</f>
        <v>0</v>
      </c>
      <c r="AT38" s="51">
        <f t="shared" ref="AT38" si="350">$E38*AS38</f>
        <v>0</v>
      </c>
      <c r="AU38" s="65">
        <f t="shared" ref="AU38" si="351">AS38</f>
        <v>0</v>
      </c>
      <c r="AV38" s="66">
        <f t="shared" ref="AV38" si="352">$E38*AU38</f>
        <v>0</v>
      </c>
      <c r="AW38" s="67"/>
      <c r="AX38" s="68">
        <f t="shared" ref="AX38" si="353">$E38*AW38</f>
        <v>0</v>
      </c>
      <c r="AY38" s="64">
        <f>_xlfn.XLOOKUP($C38,Tb_DISTR.FIN[Nº  SS],Tb_DISTR.FIN[ABR.26],"0%",0,1)</f>
        <v>0.2</v>
      </c>
      <c r="AZ38" s="51">
        <f t="shared" ref="AZ38" si="354">$E38*AY38</f>
        <v>69699.866039999994</v>
      </c>
      <c r="BA38" s="65">
        <f t="shared" ref="BA38" si="355">AY38</f>
        <v>0.2</v>
      </c>
      <c r="BB38" s="66">
        <f t="shared" ref="BB38" si="356">$E38*BA38</f>
        <v>69699.866039999994</v>
      </c>
      <c r="BC38" s="67"/>
      <c r="BD38" s="68">
        <f t="shared" ref="BD38" si="357">$E38*BC38</f>
        <v>0</v>
      </c>
      <c r="BE38" s="64">
        <f>_xlfn.XLOOKUP($C38,Tb_DISTR.FIN[Nº  SS],Tb_DISTR.FIN[MAI.26],"0%",0,1)</f>
        <v>0.09</v>
      </c>
      <c r="BF38" s="51">
        <f t="shared" ref="BF38" si="358">$E38*BE38</f>
        <v>31364.939717999994</v>
      </c>
      <c r="BG38" s="65">
        <f t="shared" ref="BG38" si="359">BE38</f>
        <v>0.09</v>
      </c>
      <c r="BH38" s="66">
        <f t="shared" ref="BH38" si="360">$E38*BG38</f>
        <v>31364.939717999994</v>
      </c>
      <c r="BI38" s="67"/>
      <c r="BJ38" s="68">
        <f t="shared" ref="BJ38" si="361">$E38*BI38</f>
        <v>0</v>
      </c>
      <c r="BK38" s="64">
        <f>_xlfn.XLOOKUP($C38,Tb_DISTR.FIN[Nº  SS],Tb_DISTR.FIN[JUN.26],"0%",0,1)</f>
        <v>0.09</v>
      </c>
      <c r="BL38" s="51">
        <f t="shared" ref="BL38" si="362">$E38*BK38</f>
        <v>31364.939717999994</v>
      </c>
      <c r="BM38" s="65">
        <f t="shared" ref="BM38" si="363">BK38</f>
        <v>0.09</v>
      </c>
      <c r="BN38" s="66">
        <f t="shared" ref="BN38" si="364">$E38*BM38</f>
        <v>31364.939717999994</v>
      </c>
      <c r="BO38" s="67"/>
      <c r="BP38" s="68">
        <f t="shared" ref="BP38" si="365">$E38*BO38</f>
        <v>0</v>
      </c>
      <c r="BQ38" s="64">
        <f>_xlfn.XLOOKUP($C38,Tb_DISTR.FIN[Nº  SS],Tb_DISTR.FIN[JUL.26],"0%",0,1)</f>
        <v>0.09</v>
      </c>
      <c r="BR38" s="51">
        <f t="shared" ref="BR38" si="366">$E38*BQ38</f>
        <v>31364.939717999994</v>
      </c>
      <c r="BS38" s="65">
        <f t="shared" ref="BS38" si="367">BQ38</f>
        <v>0.09</v>
      </c>
      <c r="BT38" s="66">
        <f t="shared" ref="BT38" si="368">$E38*BS38</f>
        <v>31364.939717999994</v>
      </c>
      <c r="BU38" s="67"/>
      <c r="BV38" s="68">
        <f t="shared" ref="BV38" si="369">$E38*BU38</f>
        <v>0</v>
      </c>
      <c r="BW38" s="64">
        <f>_xlfn.XLOOKUP($C38,Tb_DISTR.FIN[Nº  SS],Tb_DISTR.FIN[AGO.26],"0%",0,1)</f>
        <v>0.09</v>
      </c>
      <c r="BX38" s="51">
        <f t="shared" ref="BX38" si="370">$E38*BW38</f>
        <v>31364.939717999994</v>
      </c>
      <c r="BY38" s="65">
        <f t="shared" ref="BY38" si="371">BW38</f>
        <v>0.09</v>
      </c>
      <c r="BZ38" s="66">
        <f t="shared" ref="BZ38" si="372">$E38*BY38</f>
        <v>31364.939717999994</v>
      </c>
      <c r="CA38" s="67"/>
      <c r="CB38" s="68">
        <f t="shared" ref="CB38" si="373">$E38*CA38</f>
        <v>0</v>
      </c>
    </row>
    <row r="39" spans="1:138" s="42" customFormat="1" ht="6" customHeight="1" x14ac:dyDescent="0.2">
      <c r="A39" s="70"/>
      <c r="B39" s="71"/>
      <c r="C39" s="72"/>
      <c r="D39" s="73"/>
      <c r="E39" s="74"/>
      <c r="F39" s="74"/>
      <c r="G39" s="75"/>
      <c r="H39" s="75"/>
      <c r="I39" s="76"/>
      <c r="J39" s="77"/>
      <c r="K39" s="76"/>
      <c r="L39" s="77"/>
      <c r="M39" s="76"/>
      <c r="N39" s="78"/>
      <c r="O39" s="76"/>
      <c r="P39" s="77"/>
      <c r="Q39" s="76"/>
      <c r="R39" s="77"/>
      <c r="S39" s="76"/>
      <c r="T39" s="78"/>
      <c r="U39" s="76">
        <v>0</v>
      </c>
      <c r="V39" s="77"/>
      <c r="W39" s="76"/>
      <c r="X39" s="77"/>
      <c r="Y39" s="76"/>
      <c r="Z39" s="78"/>
      <c r="AA39" s="76"/>
      <c r="AB39" s="77"/>
      <c r="AC39" s="76"/>
      <c r="AD39" s="77"/>
      <c r="AE39" s="76"/>
      <c r="AF39" s="78"/>
      <c r="AG39" s="76"/>
      <c r="AH39" s="77"/>
      <c r="AI39" s="76"/>
      <c r="AJ39" s="77"/>
      <c r="AK39" s="76"/>
      <c r="AL39" s="78"/>
      <c r="AM39" s="76"/>
      <c r="AN39" s="77"/>
      <c r="AO39" s="76"/>
      <c r="AP39" s="77"/>
      <c r="AQ39" s="76"/>
      <c r="AR39" s="78"/>
      <c r="AS39" s="76"/>
      <c r="AT39" s="77"/>
      <c r="AU39" s="76"/>
      <c r="AV39" s="77"/>
      <c r="AW39" s="76"/>
      <c r="AX39" s="78"/>
      <c r="AY39" s="76"/>
      <c r="AZ39" s="77"/>
      <c r="BA39" s="76"/>
      <c r="BB39" s="77"/>
      <c r="BC39" s="76"/>
      <c r="BD39" s="78"/>
      <c r="BE39" s="76"/>
      <c r="BF39" s="77"/>
      <c r="BG39" s="76"/>
      <c r="BH39" s="77"/>
      <c r="BI39" s="76"/>
      <c r="BJ39" s="78"/>
      <c r="BK39" s="76"/>
      <c r="BL39" s="77"/>
      <c r="BM39" s="76"/>
      <c r="BN39" s="77"/>
      <c r="BO39" s="76"/>
      <c r="BP39" s="78"/>
      <c r="BQ39" s="76"/>
      <c r="BR39" s="77"/>
      <c r="BS39" s="76"/>
      <c r="BT39" s="77"/>
      <c r="BU39" s="76"/>
      <c r="BV39" s="78"/>
      <c r="BW39" s="76"/>
      <c r="BX39" s="77"/>
      <c r="BY39" s="76"/>
      <c r="BZ39" s="77"/>
      <c r="CA39" s="76"/>
      <c r="CB39" s="78"/>
    </row>
    <row r="40" spans="1:138" s="56" customFormat="1" ht="24" customHeight="1" thickBot="1" x14ac:dyDescent="0.25">
      <c r="A40" s="87" t="s">
        <v>184</v>
      </c>
      <c r="B40" s="87" t="s">
        <v>134</v>
      </c>
      <c r="C40" s="88" t="s">
        <v>360</v>
      </c>
      <c r="D40" s="89" t="s">
        <v>162</v>
      </c>
      <c r="E40" s="90">
        <v>0</v>
      </c>
      <c r="F40" s="90">
        <f>IFERROR(E40-N40-T40-Z40-AF40-AL40-AR40-AX40-BD40-BJ40-BP40-BV40-CB40,0)</f>
        <v>0</v>
      </c>
      <c r="G40" s="91">
        <f>IFERROR(((J40+P40+X40+AB40+AH40+AN40+AT40+AZ40+BF40+BL40+BR40+BX40)/E40),0)</f>
        <v>0</v>
      </c>
      <c r="H40" s="92">
        <f>IFERROR(((E40-F40)/E40),0)</f>
        <v>0</v>
      </c>
      <c r="I40" s="50" t="str">
        <f>_xlfn.XLOOKUP($C40,Tb_DISTR.FIN[Nº  SS],Tb_DISTR.FIN[OUT.25],"",0,1)</f>
        <v/>
      </c>
      <c r="J40" s="69"/>
      <c r="K40" s="52" t="str">
        <f>_xlfn.XLOOKUP($C40,Tb_DISTR.FIN[Nº  SS],Tb_DISTR.FIN[OUT.25],"",0,1)</f>
        <v/>
      </c>
      <c r="L40" s="53"/>
      <c r="M40" s="54" t="str">
        <f>_xlfn.XLOOKUP($C40,Tb_DISTR.FIN[Nº  SS],Tb_DISTR.FIN[OUT.25],"",0,1)</f>
        <v/>
      </c>
      <c r="N40" s="55"/>
      <c r="O40" s="50" t="str">
        <f>_xlfn.XLOOKUP($C40,Tb_DISTR.FIN[Nº  SS],Tb_DISTR.FIN[OUT.25],"",0,1)</f>
        <v/>
      </c>
      <c r="P40" s="69"/>
      <c r="Q40" s="52" t="str">
        <f>_xlfn.XLOOKUP($C40,Tb_DISTR.FIN[Nº  SS],Tb_DISTR.FIN[OUT.25],"",0,1)</f>
        <v/>
      </c>
      <c r="R40" s="53"/>
      <c r="S40" s="54" t="str">
        <f>_xlfn.XLOOKUP($C40,Tb_DISTR.FIN[Nº  SS],Tb_DISTR.FIN[OUT.25],"",0,1)</f>
        <v/>
      </c>
      <c r="T40" s="55"/>
      <c r="U40" s="50" t="str">
        <f>_xlfn.XLOOKUP($C40,Tb_DISTR.FIN[Nº  SS],Tb_DISTR.FIN[OUT.25],"",0,1)</f>
        <v/>
      </c>
      <c r="V40" s="69"/>
      <c r="W40" s="52" t="str">
        <f>_xlfn.XLOOKUP($C40,Tb_DISTR.FIN[Nº  SS],Tb_DISTR.FIN[OUT.25],"",0,1)</f>
        <v/>
      </c>
      <c r="X40" s="53"/>
      <c r="Y40" s="54" t="str">
        <f>_xlfn.XLOOKUP($C40,Tb_DISTR.FIN[Nº  SS],Tb_DISTR.FIN[OUT.25],"",0,1)</f>
        <v/>
      </c>
      <c r="Z40" s="55"/>
      <c r="AA40" s="50" t="str">
        <f>_xlfn.XLOOKUP($C40,Tb_DISTR.FIN[Nº  SS],Tb_DISTR.FIN[OUT.25],"",0,1)</f>
        <v/>
      </c>
      <c r="AB40" s="69"/>
      <c r="AC40" s="52" t="str">
        <f>_xlfn.XLOOKUP($C40,Tb_DISTR.FIN[Nº  SS],Tb_DISTR.FIN[OUT.25],"",0,1)</f>
        <v/>
      </c>
      <c r="AD40" s="53"/>
      <c r="AE40" s="54" t="str">
        <f>_xlfn.XLOOKUP($C40,Tb_DISTR.FIN[Nº  SS],Tb_DISTR.FIN[OUT.25],"",0,1)</f>
        <v/>
      </c>
      <c r="AF40" s="55"/>
      <c r="AG40" s="50" t="str">
        <f>_xlfn.XLOOKUP($C40,Tb_DISTR.FIN[Nº  SS],Tb_DISTR.FIN[OUT.25],"",0,1)</f>
        <v/>
      </c>
      <c r="AH40" s="69"/>
      <c r="AI40" s="52" t="str">
        <f>_xlfn.XLOOKUP($C40,Tb_DISTR.FIN[Nº  SS],Tb_DISTR.FIN[OUT.25],"",0,1)</f>
        <v/>
      </c>
      <c r="AJ40" s="53"/>
      <c r="AK40" s="54" t="str">
        <f>_xlfn.XLOOKUP($C40,Tb_DISTR.FIN[Nº  SS],Tb_DISTR.FIN[OUT.25],"",0,1)</f>
        <v/>
      </c>
      <c r="AL40" s="55"/>
      <c r="AM40" s="50" t="str">
        <f>_xlfn.XLOOKUP($C40,Tb_DISTR.FIN[Nº  SS],Tb_DISTR.FIN[OUT.25],"",0,1)</f>
        <v/>
      </c>
      <c r="AN40" s="69"/>
      <c r="AO40" s="52" t="str">
        <f>_xlfn.XLOOKUP($C40,Tb_DISTR.FIN[Nº  SS],Tb_DISTR.FIN[OUT.25],"",0,1)</f>
        <v/>
      </c>
      <c r="AP40" s="53"/>
      <c r="AQ40" s="54" t="str">
        <f>_xlfn.XLOOKUP($C40,Tb_DISTR.FIN[Nº  SS],Tb_DISTR.FIN[OUT.25],"",0,1)</f>
        <v/>
      </c>
      <c r="AR40" s="55"/>
      <c r="AS40" s="50" t="str">
        <f>_xlfn.XLOOKUP($C40,Tb_DISTR.FIN[Nº  SS],Tb_DISTR.FIN[OUT.25],"",0,1)</f>
        <v/>
      </c>
      <c r="AT40" s="69"/>
      <c r="AU40" s="52" t="str">
        <f>_xlfn.XLOOKUP($C40,Tb_DISTR.FIN[Nº  SS],Tb_DISTR.FIN[OUT.25],"",0,1)</f>
        <v/>
      </c>
      <c r="AV40" s="53"/>
      <c r="AW40" s="54" t="str">
        <f>_xlfn.XLOOKUP($C40,Tb_DISTR.FIN[Nº  SS],Tb_DISTR.FIN[OUT.25],"",0,1)</f>
        <v/>
      </c>
      <c r="AX40" s="55"/>
      <c r="AY40" s="50" t="str">
        <f>_xlfn.XLOOKUP($C40,Tb_DISTR.FIN[Nº  SS],Tb_DISTR.FIN[OUT.25],"",0,1)</f>
        <v/>
      </c>
      <c r="AZ40" s="69"/>
      <c r="BA40" s="52" t="str">
        <f>_xlfn.XLOOKUP($C40,Tb_DISTR.FIN[Nº  SS],Tb_DISTR.FIN[OUT.25],"",0,1)</f>
        <v/>
      </c>
      <c r="BB40" s="53"/>
      <c r="BC40" s="54" t="str">
        <f>_xlfn.XLOOKUP($C40,Tb_DISTR.FIN[Nº  SS],Tb_DISTR.FIN[OUT.25],"",0,1)</f>
        <v/>
      </c>
      <c r="BD40" s="55"/>
      <c r="BE40" s="50" t="str">
        <f>_xlfn.XLOOKUP($C40,Tb_DISTR.FIN[Nº  SS],Tb_DISTR.FIN[OUT.25],"",0,1)</f>
        <v/>
      </c>
      <c r="BF40" s="69"/>
      <c r="BG40" s="52" t="str">
        <f>_xlfn.XLOOKUP($C40,Tb_DISTR.FIN[Nº  SS],Tb_DISTR.FIN[OUT.25],"",0,1)</f>
        <v/>
      </c>
      <c r="BH40" s="53"/>
      <c r="BI40" s="54" t="str">
        <f>_xlfn.XLOOKUP($C40,Tb_DISTR.FIN[Nº  SS],Tb_DISTR.FIN[OUT.25],"",0,1)</f>
        <v/>
      </c>
      <c r="BJ40" s="55"/>
      <c r="BK40" s="50" t="str">
        <f>_xlfn.XLOOKUP($C40,Tb_DISTR.FIN[Nº  SS],Tb_DISTR.FIN[OUT.25],"",0,1)</f>
        <v/>
      </c>
      <c r="BL40" s="69"/>
      <c r="BM40" s="52" t="str">
        <f>_xlfn.XLOOKUP($C40,Tb_DISTR.FIN[Nº  SS],Tb_DISTR.FIN[OUT.25],"",0,1)</f>
        <v/>
      </c>
      <c r="BN40" s="53"/>
      <c r="BO40" s="54" t="str">
        <f>_xlfn.XLOOKUP($C40,Tb_DISTR.FIN[Nº  SS],Tb_DISTR.FIN[OUT.25],"",0,1)</f>
        <v/>
      </c>
      <c r="BP40" s="55"/>
      <c r="BQ40" s="50" t="str">
        <f>_xlfn.XLOOKUP($C40,Tb_DISTR.FIN[Nº  SS],Tb_DISTR.FIN[OUT.25],"",0,1)</f>
        <v/>
      </c>
      <c r="BR40" s="69"/>
      <c r="BS40" s="52" t="str">
        <f>_xlfn.XLOOKUP($C40,Tb_DISTR.FIN[Nº  SS],Tb_DISTR.FIN[OUT.25],"",0,1)</f>
        <v/>
      </c>
      <c r="BT40" s="53"/>
      <c r="BU40" s="54" t="str">
        <f>_xlfn.XLOOKUP($C40,Tb_DISTR.FIN[Nº  SS],Tb_DISTR.FIN[OUT.25],"",0,1)</f>
        <v/>
      </c>
      <c r="BV40" s="55"/>
      <c r="BW40" s="50" t="str">
        <f>_xlfn.XLOOKUP($C40,Tb_DISTR.FIN[Nº  SS],Tb_DISTR.FIN[OUT.25],"",0,1)</f>
        <v/>
      </c>
      <c r="BX40" s="69"/>
      <c r="BY40" s="52" t="str">
        <f>_xlfn.XLOOKUP($C40,Tb_DISTR.FIN[Nº  SS],Tb_DISTR.FIN[OUT.25],"",0,1)</f>
        <v/>
      </c>
      <c r="BZ40" s="53"/>
      <c r="CA40" s="54" t="str">
        <f>_xlfn.XLOOKUP($C40,Tb_DISTR.FIN[Nº  SS],Tb_DISTR.FIN[OUT.25],"",0,1)</f>
        <v/>
      </c>
      <c r="CB40" s="55"/>
    </row>
    <row r="41" spans="1:138" s="104" customFormat="1" ht="24" customHeight="1" x14ac:dyDescent="0.2">
      <c r="A41" s="93"/>
      <c r="B41" s="93"/>
      <c r="C41" s="93"/>
      <c r="D41" s="179" t="s">
        <v>124</v>
      </c>
      <c r="E41" s="180">
        <f>SUMIFS($E$3:$E$40,$A$3:$A$40,$D$41)</f>
        <v>12833730.398019997</v>
      </c>
      <c r="F41" s="180">
        <f t="shared" ref="F41:F43" si="374">IFERROR(E41-N41-T41-Z41-AF41-AL41-AR41-AX41-BD41-BJ41-BP41-BV41-CB41,0)</f>
        <v>8035141.8717534952</v>
      </c>
      <c r="G41" s="94">
        <f t="shared" ref="G41:G43" si="375">IFERROR(((J41+P41+X41+AB41+AH41+AN41+AT41+AZ41+BF41+BL41+BR41+BX41)/E41),0)</f>
        <v>0.63729317659559792</v>
      </c>
      <c r="H41" s="95">
        <f t="shared" ref="H41:H43" si="376">IFERROR(((E41-F41)/E41),0)</f>
        <v>0.37390442041752986</v>
      </c>
      <c r="I41" s="96"/>
      <c r="J41" s="97">
        <f>SUMIF($A$3:$A$40,$D$41,J3:J40)</f>
        <v>562141.53588614904</v>
      </c>
      <c r="K41" s="98"/>
      <c r="L41" s="99">
        <f>SUMIF($A$3:$A$40,$D$41,L3:L40)</f>
        <v>562141.53588614904</v>
      </c>
      <c r="M41" s="100"/>
      <c r="N41" s="101">
        <f>SUMIF($A$3:$A$40,$D$41,N3:N40)</f>
        <v>562141.46160000004</v>
      </c>
      <c r="O41" s="96"/>
      <c r="P41" s="97">
        <f>SUMIF($A$3:$A$40,$D$41,P3:P40)</f>
        <v>829742.11073999992</v>
      </c>
      <c r="Q41" s="98"/>
      <c r="R41" s="99">
        <f>SUMIF($A$3:$A$40,$D$41,R3:R40)</f>
        <v>829742.11073999992</v>
      </c>
      <c r="S41" s="100"/>
      <c r="T41" s="101">
        <f>SUMIF($A$3:$A$40,$D$41,T3:T40)</f>
        <v>829742.11073999992</v>
      </c>
      <c r="U41" s="96"/>
      <c r="V41" s="97">
        <f>SUMIF($A$3:$A$40,$D$41,V3:V40)</f>
        <v>1508902.7911280002</v>
      </c>
      <c r="W41" s="98"/>
      <c r="X41" s="99">
        <f>SUMIF($A$3:$A$40,$D$41,X3:X40)</f>
        <v>1508902.7911280002</v>
      </c>
      <c r="Y41" s="100"/>
      <c r="Z41" s="101">
        <f>SUMIF($A$3:$A$40,$D$41,Z3:Z40)</f>
        <v>1087060.6275200001</v>
      </c>
      <c r="AA41" s="96"/>
      <c r="AB41" s="97">
        <f>SUMIF($A$3:$A$40,$D$41,AB3:AB40)</f>
        <v>697097.98801600002</v>
      </c>
      <c r="AC41" s="98"/>
      <c r="AD41" s="99">
        <f>SUMIF($A$3:$A$40,$D$41,AD3:AD40)</f>
        <v>964920.98181400006</v>
      </c>
      <c r="AE41" s="100"/>
      <c r="AF41" s="101">
        <f>SUMIF($A$3:$A$40,$D$41,AF3:AF40)</f>
        <v>964920.98181400006</v>
      </c>
      <c r="AG41" s="96"/>
      <c r="AH41" s="97">
        <f>SUMIF($A$3:$A$40,$D$41,AH3:AH40)</f>
        <v>659593.11055600003</v>
      </c>
      <c r="AI41" s="98"/>
      <c r="AJ41" s="99">
        <f>SUMIF($A$3:$A$40,$D$41,AJ3:AJ40)</f>
        <v>659593.11055600003</v>
      </c>
      <c r="AK41" s="100"/>
      <c r="AL41" s="101">
        <f>SUMIF($A$3:$A$40,$D$41,AL3:AL40)</f>
        <v>645532.53055599995</v>
      </c>
      <c r="AM41" s="96"/>
      <c r="AN41" s="97">
        <f>SUMIF($A$3:$A$40,$D$41,AN3:AN40)</f>
        <v>630124.80709400005</v>
      </c>
      <c r="AO41" s="98"/>
      <c r="AP41" s="99">
        <f>SUMIF($A$3:$A$40,$D$41,AP3:AP40)</f>
        <v>630124.80709400005</v>
      </c>
      <c r="AQ41" s="100"/>
      <c r="AR41" s="101">
        <f>SUMIF($A$3:$A$40,$D$41,AR3:AR40)</f>
        <v>709190.81403649994</v>
      </c>
      <c r="AS41" s="96"/>
      <c r="AT41" s="97">
        <f>SUMIF($A$3:$A$40,$D$41,AT3:AT40)</f>
        <v>795920.73689079995</v>
      </c>
      <c r="AU41" s="98"/>
      <c r="AV41" s="99">
        <f>SUMIF($A$3:$A$40,$D$41,AV3:AV40)</f>
        <v>795920.73689079995</v>
      </c>
      <c r="AW41" s="100"/>
      <c r="AX41" s="101">
        <f>SUMIF($A$3:$A$40,$D$41,AX3:AX40)</f>
        <v>0</v>
      </c>
      <c r="AY41" s="96"/>
      <c r="AZ41" s="97">
        <f>SUMIF($A$3:$A$40,$D$41,AZ3:AZ40)</f>
        <v>627746.74317869998</v>
      </c>
      <c r="BA41" s="98"/>
      <c r="BB41" s="99">
        <f>SUMIF($A$3:$A$40,$D$41,BB3:BB40)</f>
        <v>627746.74317869998</v>
      </c>
      <c r="BC41" s="100"/>
      <c r="BD41" s="101">
        <f>SUMIF($A$3:$A$40,$D$41,BD3:BD40)</f>
        <v>0</v>
      </c>
      <c r="BE41" s="96"/>
      <c r="BF41" s="97">
        <f>SUMIF($A$3:$A$40,$D$41,BF3:BF40)</f>
        <v>678508.10343000002</v>
      </c>
      <c r="BG41" s="98"/>
      <c r="BH41" s="99">
        <f>SUMIF($A$3:$A$40,$D$41,BH3:BH40)</f>
        <v>678508.10343000002</v>
      </c>
      <c r="BI41" s="100"/>
      <c r="BJ41" s="101">
        <f>SUMIF($A$3:$A$40,$D$41,BJ3:BJ40)</f>
        <v>0</v>
      </c>
      <c r="BK41" s="96"/>
      <c r="BL41" s="97">
        <f>SUMIF($A$3:$A$40,$D$41,BL3:BL40)</f>
        <v>519748.41400200006</v>
      </c>
      <c r="BM41" s="98"/>
      <c r="BN41" s="99">
        <f>SUMIF($A$3:$A$40,$D$41,BN3:BN40)</f>
        <v>519748.41400200006</v>
      </c>
      <c r="BO41" s="100"/>
      <c r="BP41" s="101">
        <f>SUMIF($A$3:$A$40,$D$41,BP3:BP40)</f>
        <v>0</v>
      </c>
      <c r="BQ41" s="96"/>
      <c r="BR41" s="97">
        <f>SUMIF($A$3:$A$40,$D$41,BR3:BR40)</f>
        <v>334661.23600199999</v>
      </c>
      <c r="BS41" s="98"/>
      <c r="BT41" s="99">
        <f>SUMIF($A$3:$A$40,$D$41,BT3:BT40)</f>
        <v>334661.23600199999</v>
      </c>
      <c r="BU41" s="100"/>
      <c r="BV41" s="101">
        <f>SUMIF($A$3:$A$40,$D$41,BV3:BV40)</f>
        <v>0</v>
      </c>
      <c r="BW41" s="96"/>
      <c r="BX41" s="97">
        <f>SUMIF($A$3:$A$40,$D$41,BX3:BX40)</f>
        <v>334661.23600199999</v>
      </c>
      <c r="BY41" s="98"/>
      <c r="BZ41" s="99">
        <f>SUMIF($A$3:$A$40,$D$41,BZ3:BZ40)</f>
        <v>334661.23600199999</v>
      </c>
      <c r="CA41" s="100"/>
      <c r="CB41" s="101">
        <f>SUMIF($A$3:$A$40,$D$41,CB3:CB40)</f>
        <v>0</v>
      </c>
      <c r="CC41" s="102"/>
      <c r="CD41" s="102"/>
      <c r="CE41" s="102"/>
      <c r="CF41" s="102"/>
      <c r="CG41" s="102"/>
      <c r="CH41" s="102"/>
      <c r="CI41" s="102"/>
      <c r="CJ41" s="102"/>
      <c r="CK41" s="102"/>
      <c r="CL41" s="102"/>
      <c r="CM41" s="102"/>
      <c r="CN41" s="102"/>
      <c r="CO41" s="102"/>
      <c r="CP41" s="102"/>
      <c r="CQ41" s="102"/>
      <c r="CR41" s="102"/>
      <c r="CS41" s="102"/>
      <c r="CT41" s="102"/>
      <c r="CU41" s="102"/>
      <c r="CV41" s="102"/>
      <c r="CW41" s="102"/>
      <c r="CX41" s="102"/>
      <c r="CY41" s="102"/>
      <c r="CZ41" s="102"/>
      <c r="DA41" s="102"/>
      <c r="DB41" s="102"/>
      <c r="DC41" s="102"/>
      <c r="DD41" s="102"/>
      <c r="DE41" s="102"/>
      <c r="DF41" s="102"/>
      <c r="DG41" s="102"/>
      <c r="DH41" s="102"/>
      <c r="DI41" s="102"/>
      <c r="DJ41" s="102"/>
      <c r="DK41" s="102"/>
      <c r="DL41" s="102"/>
      <c r="DM41" s="102"/>
      <c r="DN41" s="102"/>
      <c r="DO41" s="102"/>
      <c r="DP41" s="102"/>
      <c r="DQ41" s="102"/>
      <c r="DR41" s="102"/>
      <c r="DS41" s="102"/>
      <c r="DT41" s="102"/>
      <c r="DU41" s="102"/>
      <c r="DV41" s="102"/>
      <c r="DW41" s="102"/>
      <c r="DX41" s="102"/>
      <c r="DY41" s="102"/>
      <c r="DZ41" s="102"/>
      <c r="EA41" s="102"/>
      <c r="EB41" s="102"/>
      <c r="EC41" s="102"/>
      <c r="ED41" s="102"/>
      <c r="EE41" s="102"/>
      <c r="EF41" s="102"/>
      <c r="EG41" s="102"/>
      <c r="EH41" s="103"/>
    </row>
    <row r="42" spans="1:138" s="104" customFormat="1" ht="24" customHeight="1" x14ac:dyDescent="0.2">
      <c r="A42" s="105"/>
      <c r="B42" s="105"/>
      <c r="C42" s="105"/>
      <c r="D42" s="181" t="s">
        <v>125</v>
      </c>
      <c r="E42" s="182">
        <f>SUMIFS($E$3:$E$40,$A$3:$A$40,$D$42)</f>
        <v>30090276.78301423</v>
      </c>
      <c r="F42" s="182">
        <f t="shared" si="374"/>
        <v>14642388.486895826</v>
      </c>
      <c r="G42" s="106">
        <f t="shared" si="375"/>
        <v>0.85352163362380973</v>
      </c>
      <c r="H42" s="107">
        <f t="shared" si="376"/>
        <v>0.51338471917409012</v>
      </c>
      <c r="I42" s="108"/>
      <c r="J42" s="109">
        <f>SUMIF($A$3:$A$40,$D$42,J3:J40)</f>
        <v>2120300.3281999999</v>
      </c>
      <c r="K42" s="110"/>
      <c r="L42" s="111">
        <f>SUMIF($A$3:$A$40,$D$42,L3:L40)</f>
        <v>2120300.3281999999</v>
      </c>
      <c r="M42" s="112"/>
      <c r="N42" s="113">
        <f>SUMIF($A$3:$A$40,$D$42,N3:N40)</f>
        <v>2120301.0197999999</v>
      </c>
      <c r="O42" s="108"/>
      <c r="P42" s="109">
        <f>SUMIF($A$3:$A$40,$D$42,P3:P40)</f>
        <v>2675087.9843284339</v>
      </c>
      <c r="Q42" s="110"/>
      <c r="R42" s="111">
        <f>SUMIF($A$3:$A$40,$D$42,R3:R40)</f>
        <v>2675087.9843284339</v>
      </c>
      <c r="S42" s="112"/>
      <c r="T42" s="113">
        <f>SUMIF($A$3:$A$40,$D$42,T3:T40)</f>
        <v>2675087.9843284339</v>
      </c>
      <c r="U42" s="108"/>
      <c r="V42" s="109">
        <f>SUMIF($A$3:$A$40,$D$42,V3:V40)</f>
        <v>4027419.5439402638</v>
      </c>
      <c r="W42" s="110"/>
      <c r="X42" s="111">
        <f>SUMIF($A$3:$A$40,$D$42,X3:X40)</f>
        <v>4027419.5439402638</v>
      </c>
      <c r="Y42" s="112"/>
      <c r="Z42" s="113">
        <f>SUMIF($A$3:$A$40,$D$42,Z3:Z40)</f>
        <v>3732927.5028437232</v>
      </c>
      <c r="AA42" s="108"/>
      <c r="AB42" s="109">
        <f>SUMIF($A$3:$A$40,$D$42,AB3:AB40)</f>
        <v>2682641.784750693</v>
      </c>
      <c r="AC42" s="110"/>
      <c r="AD42" s="111">
        <f>SUMIF($A$3:$A$40,$D$42,AD3:AD40)</f>
        <v>3060023.8765041162</v>
      </c>
      <c r="AE42" s="112"/>
      <c r="AF42" s="113">
        <f>SUMIF($A$3:$A$40,$D$42,AF3:AF40)</f>
        <v>2893079.8241280364</v>
      </c>
      <c r="AG42" s="108"/>
      <c r="AH42" s="109">
        <f>SUMIF($A$3:$A$40,$D$42,AH3:AH40)</f>
        <v>2903771.6371012139</v>
      </c>
      <c r="AI42" s="110"/>
      <c r="AJ42" s="111">
        <f>SUMIF($A$3:$A$40,$D$42,AJ3:AJ40)</f>
        <v>2903771.6371012139</v>
      </c>
      <c r="AK42" s="112"/>
      <c r="AL42" s="113">
        <f>SUMIF($A$3:$A$40,$D$42,AL3:AL40)</f>
        <v>2527250.6143443133</v>
      </c>
      <c r="AM42" s="108"/>
      <c r="AN42" s="109">
        <f>SUMIF($A$3:$A$40,$D$42,AN3:AN40)</f>
        <v>2052916.1152722</v>
      </c>
      <c r="AO42" s="110"/>
      <c r="AP42" s="111">
        <f>SUMIF($A$3:$A$40,$D$42,AP3:AP40)</f>
        <v>2052916.1152722</v>
      </c>
      <c r="AQ42" s="112"/>
      <c r="AR42" s="113">
        <f>SUMIF($A$3:$A$40,$D$42,AR3:AR40)</f>
        <v>1499241.3506739</v>
      </c>
      <c r="AS42" s="108"/>
      <c r="AT42" s="109">
        <f>SUMIF($A$3:$A$40,$D$42,AT3:AT40)</f>
        <v>2284057.3499135999</v>
      </c>
      <c r="AU42" s="110"/>
      <c r="AV42" s="111">
        <f>SUMIF($A$3:$A$40,$D$42,AV3:AV40)</f>
        <v>2284057.3499135999</v>
      </c>
      <c r="AW42" s="112"/>
      <c r="AX42" s="113">
        <f>SUMIF($A$3:$A$40,$D$42,AX3:AX40)</f>
        <v>0</v>
      </c>
      <c r="AY42" s="108"/>
      <c r="AZ42" s="109">
        <f>SUMIF($A$3:$A$40,$D$42,AZ3:AZ40)</f>
        <v>1849254.2491635003</v>
      </c>
      <c r="BA42" s="110"/>
      <c r="BB42" s="111">
        <f>SUMIF($A$3:$A$40,$D$42,BB3:BB40)</f>
        <v>1849254.2491635003</v>
      </c>
      <c r="BC42" s="112"/>
      <c r="BD42" s="113">
        <f>SUMIF($A$3:$A$40,$D$42,BD3:BD40)</f>
        <v>0</v>
      </c>
      <c r="BE42" s="108"/>
      <c r="BF42" s="109">
        <f>SUMIF($A$3:$A$40,$D$42,BF3:BF40)</f>
        <v>1727683.1157545999</v>
      </c>
      <c r="BG42" s="110"/>
      <c r="BH42" s="111">
        <f>SUMIF($A$3:$A$40,$D$42,BH3:BH40)</f>
        <v>1727683.1157545999</v>
      </c>
      <c r="BI42" s="112"/>
      <c r="BJ42" s="113">
        <f>SUMIF($A$3:$A$40,$D$42,BJ3:BJ40)</f>
        <v>0</v>
      </c>
      <c r="BK42" s="108"/>
      <c r="BL42" s="109">
        <f>SUMIF($A$3:$A$40,$D$42,BL3:BL40)</f>
        <v>1675868.2575426002</v>
      </c>
      <c r="BM42" s="110"/>
      <c r="BN42" s="111">
        <f>SUMIF($A$3:$A$40,$D$42,BN3:BN40)</f>
        <v>1675868.2575426002</v>
      </c>
      <c r="BO42" s="112"/>
      <c r="BP42" s="113">
        <f>SUMIF($A$3:$A$40,$D$42,BP3:BP40)</f>
        <v>0</v>
      </c>
      <c r="BQ42" s="108"/>
      <c r="BR42" s="109">
        <f>SUMIF($A$3:$A$40,$D$42,BR3:BR40)</f>
        <v>1294894.3260546001</v>
      </c>
      <c r="BS42" s="110"/>
      <c r="BT42" s="111">
        <f>SUMIF($A$3:$A$40,$D$42,BT3:BT40)</f>
        <v>1294894.3260546001</v>
      </c>
      <c r="BU42" s="112"/>
      <c r="BV42" s="113">
        <f>SUMIF($A$3:$A$40,$D$42,BV3:BV40)</f>
        <v>0</v>
      </c>
      <c r="BW42" s="108"/>
      <c r="BX42" s="109">
        <f>SUMIF($A$3:$A$40,$D$42,BX3:BX40)</f>
        <v>388807.50400920003</v>
      </c>
      <c r="BY42" s="110"/>
      <c r="BZ42" s="111">
        <f>SUMIF($A$3:$A$40,$D$42,BZ3:BZ40)</f>
        <v>388807.50400920003</v>
      </c>
      <c r="CA42" s="112"/>
      <c r="CB42" s="113">
        <f>SUMIF($A$3:$A$40,$D$42,CB3:CB40)</f>
        <v>0</v>
      </c>
      <c r="CC42" s="102"/>
      <c r="CD42" s="102"/>
      <c r="CE42" s="102"/>
      <c r="CF42" s="102"/>
      <c r="CG42" s="102"/>
      <c r="CH42" s="102"/>
      <c r="CI42" s="102"/>
      <c r="CJ42" s="102"/>
      <c r="CK42" s="102"/>
      <c r="CL42" s="102"/>
      <c r="CM42" s="102"/>
      <c r="CN42" s="102"/>
      <c r="CO42" s="102"/>
      <c r="CP42" s="102"/>
      <c r="CQ42" s="102"/>
      <c r="CR42" s="102"/>
      <c r="CS42" s="102"/>
      <c r="CT42" s="102"/>
      <c r="CU42" s="102"/>
      <c r="CV42" s="102"/>
      <c r="CW42" s="102"/>
      <c r="CX42" s="102"/>
      <c r="CY42" s="102"/>
      <c r="CZ42" s="102"/>
      <c r="DA42" s="102"/>
      <c r="DB42" s="102"/>
      <c r="DC42" s="102"/>
      <c r="DD42" s="102"/>
      <c r="DE42" s="102"/>
      <c r="DF42" s="102"/>
      <c r="DG42" s="102"/>
      <c r="DH42" s="102"/>
      <c r="DI42" s="102"/>
      <c r="DJ42" s="102"/>
      <c r="DK42" s="102"/>
      <c r="DL42" s="102"/>
      <c r="DM42" s="102"/>
      <c r="DN42" s="102"/>
      <c r="DO42" s="102"/>
      <c r="DP42" s="102"/>
      <c r="DQ42" s="102"/>
      <c r="DR42" s="102"/>
      <c r="DS42" s="102"/>
      <c r="DT42" s="102"/>
      <c r="DU42" s="102"/>
      <c r="DV42" s="102"/>
      <c r="DW42" s="102"/>
      <c r="DX42" s="102"/>
      <c r="DY42" s="102"/>
      <c r="DZ42" s="102"/>
      <c r="EA42" s="102"/>
      <c r="EB42" s="102"/>
      <c r="EC42" s="102"/>
      <c r="ED42" s="102"/>
      <c r="EE42" s="102"/>
      <c r="EF42" s="102"/>
      <c r="EG42" s="102"/>
      <c r="EH42" s="103"/>
    </row>
    <row r="43" spans="1:138" s="104" customFormat="1" ht="24" customHeight="1" thickBot="1" x14ac:dyDescent="0.25">
      <c r="A43" s="114"/>
      <c r="B43" s="114"/>
      <c r="C43" s="114"/>
      <c r="D43" s="183" t="s">
        <v>184</v>
      </c>
      <c r="E43" s="184">
        <f>SUMIFS($E$3:$E$40,$A$3:$A$40,$D$43)</f>
        <v>0</v>
      </c>
      <c r="F43" s="184">
        <f t="shared" si="374"/>
        <v>0</v>
      </c>
      <c r="G43" s="115">
        <f t="shared" si="375"/>
        <v>0</v>
      </c>
      <c r="H43" s="116">
        <f t="shared" si="376"/>
        <v>0</v>
      </c>
      <c r="I43" s="117"/>
      <c r="J43" s="118">
        <f>SUMIF($A$3:$A$40,$D$43,J3:J40)</f>
        <v>0</v>
      </c>
      <c r="K43" s="119"/>
      <c r="L43" s="120">
        <f>SUMIF($A$3:$A$40,$D$43,L3:L40)</f>
        <v>0</v>
      </c>
      <c r="M43" s="121"/>
      <c r="N43" s="122">
        <f>SUMIF($A$3:$A$40,$D$43,N3:N40)</f>
        <v>0</v>
      </c>
      <c r="O43" s="117"/>
      <c r="P43" s="118">
        <f>SUMIF($A$3:$A$40,$D$43,P3:P40)</f>
        <v>0</v>
      </c>
      <c r="Q43" s="119"/>
      <c r="R43" s="120">
        <f>SUMIF($A$3:$A$40,$D$43,R3:R40)</f>
        <v>0</v>
      </c>
      <c r="S43" s="121"/>
      <c r="T43" s="122">
        <f>SUMIF($A$3:$A$40,$D$43,T3:T40)</f>
        <v>0</v>
      </c>
      <c r="U43" s="117"/>
      <c r="V43" s="118">
        <f>SUMIF($A$3:$A$40,$D$43,V3:V40)</f>
        <v>0</v>
      </c>
      <c r="W43" s="119"/>
      <c r="X43" s="120">
        <f>SUMIF($A$3:$A$40,$D$43,X3:X40)</f>
        <v>0</v>
      </c>
      <c r="Y43" s="121"/>
      <c r="Z43" s="122">
        <f>SUMIF($A$3:$A$40,$D$43,Z3:Z40)</f>
        <v>0</v>
      </c>
      <c r="AA43" s="117"/>
      <c r="AB43" s="118">
        <f>SUMIF($A$3:$A$40,$D$43,AB3:AB40)</f>
        <v>0</v>
      </c>
      <c r="AC43" s="119"/>
      <c r="AD43" s="120">
        <f>SUMIF($A$3:$A$40,$D$43,AD3:AD40)</f>
        <v>0</v>
      </c>
      <c r="AE43" s="121"/>
      <c r="AF43" s="122">
        <f>SUMIF($A$3:$A$40,$D$43,AF3:AF40)</f>
        <v>0</v>
      </c>
      <c r="AG43" s="117"/>
      <c r="AH43" s="118">
        <f>SUMIF($A$3:$A$40,$D$43,AH3:AH40)</f>
        <v>0</v>
      </c>
      <c r="AI43" s="119"/>
      <c r="AJ43" s="120">
        <f>SUMIF($A$3:$A$40,$D$43,AJ3:AJ40)</f>
        <v>0</v>
      </c>
      <c r="AK43" s="121"/>
      <c r="AL43" s="122">
        <f>SUMIF($A$3:$A$40,$D$43,AL3:AL40)</f>
        <v>0</v>
      </c>
      <c r="AM43" s="117"/>
      <c r="AN43" s="118">
        <f>SUMIF($A$3:$A$40,$D$43,AN3:AN40)</f>
        <v>0</v>
      </c>
      <c r="AO43" s="119"/>
      <c r="AP43" s="120">
        <f>SUMIF($A$3:$A$40,$D$43,AP3:AP40)</f>
        <v>0</v>
      </c>
      <c r="AQ43" s="121"/>
      <c r="AR43" s="122">
        <f>SUMIF($A$3:$A$40,$D$43,AR3:AR40)</f>
        <v>0</v>
      </c>
      <c r="AS43" s="117"/>
      <c r="AT43" s="118">
        <f>SUMIF($A$3:$A$40,$D$43,AT3:AT40)</f>
        <v>0</v>
      </c>
      <c r="AU43" s="119"/>
      <c r="AV43" s="120">
        <f>SUMIF($A$3:$A$40,$D$43,AV3:AV40)</f>
        <v>0</v>
      </c>
      <c r="AW43" s="121"/>
      <c r="AX43" s="122">
        <f>SUMIF($A$3:$A$40,$D$43,AX3:AX40)</f>
        <v>0</v>
      </c>
      <c r="AY43" s="117"/>
      <c r="AZ43" s="118">
        <f>SUMIF($A$3:$A$40,$D$43,AZ3:AZ40)</f>
        <v>0</v>
      </c>
      <c r="BA43" s="119"/>
      <c r="BB43" s="120">
        <f>SUMIF($A$3:$A$40,$D$43,BB3:BB40)</f>
        <v>0</v>
      </c>
      <c r="BC43" s="121"/>
      <c r="BD43" s="122">
        <f>SUMIF($A$3:$A$40,$D$43,BD3:BD40)</f>
        <v>0</v>
      </c>
      <c r="BE43" s="117"/>
      <c r="BF43" s="118">
        <f>SUMIF($A$3:$A$40,$D$43,BF3:BF40)</f>
        <v>0</v>
      </c>
      <c r="BG43" s="119"/>
      <c r="BH43" s="120">
        <f>SUMIF($A$3:$A$40,$D$43,BH3:BH40)</f>
        <v>0</v>
      </c>
      <c r="BI43" s="121"/>
      <c r="BJ43" s="122">
        <f>SUMIF($A$3:$A$40,$D$43,BJ3:BJ40)</f>
        <v>0</v>
      </c>
      <c r="BK43" s="117"/>
      <c r="BL43" s="118">
        <f>SUMIF($A$3:$A$40,$D$43,BL3:BL40)</f>
        <v>0</v>
      </c>
      <c r="BM43" s="119"/>
      <c r="BN43" s="120">
        <f>SUMIF($A$3:$A$40,$D$43,BN3:BN40)</f>
        <v>0</v>
      </c>
      <c r="BO43" s="121"/>
      <c r="BP43" s="122">
        <f>SUMIF($A$3:$A$40,$D$43,BP3:BP40)</f>
        <v>0</v>
      </c>
      <c r="BQ43" s="117"/>
      <c r="BR43" s="118">
        <f>SUMIF($A$3:$A$40,$D$43,BR3:BR40)</f>
        <v>0</v>
      </c>
      <c r="BS43" s="119"/>
      <c r="BT43" s="120">
        <f>SUMIF($A$3:$A$40,$D$43,BT3:BT40)</f>
        <v>0</v>
      </c>
      <c r="BU43" s="121"/>
      <c r="BV43" s="122">
        <f>SUMIF($A$3:$A$40,$D$43,BV3:BV40)</f>
        <v>0</v>
      </c>
      <c r="BW43" s="117"/>
      <c r="BX43" s="118">
        <f>SUMIF($A$3:$A$40,$D$43,BX3:BX40)</f>
        <v>0</v>
      </c>
      <c r="BY43" s="119"/>
      <c r="BZ43" s="120">
        <f>SUMIF($A$3:$A$40,$D$43,BZ3:BZ40)</f>
        <v>0</v>
      </c>
      <c r="CA43" s="121"/>
      <c r="CB43" s="122">
        <f>SUMIF($A$3:$A$40,$D$43,CB3:CB40)</f>
        <v>0</v>
      </c>
      <c r="CC43" s="102"/>
      <c r="CD43" s="102"/>
      <c r="CE43" s="102"/>
      <c r="CF43" s="102"/>
      <c r="CG43" s="102"/>
      <c r="CH43" s="102"/>
      <c r="CI43" s="102"/>
      <c r="CJ43" s="102"/>
      <c r="CK43" s="102"/>
      <c r="CL43" s="102"/>
      <c r="CM43" s="102"/>
      <c r="CN43" s="102"/>
      <c r="CO43" s="102"/>
      <c r="CP43" s="102"/>
      <c r="CQ43" s="102"/>
      <c r="CR43" s="102"/>
      <c r="CS43" s="102"/>
      <c r="CT43" s="102"/>
      <c r="CU43" s="102"/>
      <c r="CV43" s="102"/>
      <c r="CW43" s="102"/>
      <c r="CX43" s="102"/>
      <c r="CY43" s="102"/>
      <c r="CZ43" s="102"/>
      <c r="DA43" s="102"/>
      <c r="DB43" s="102"/>
      <c r="DC43" s="102"/>
      <c r="DD43" s="102"/>
      <c r="DE43" s="102"/>
      <c r="DF43" s="102"/>
      <c r="DG43" s="102"/>
      <c r="DH43" s="102"/>
      <c r="DI43" s="102"/>
      <c r="DJ43" s="102"/>
      <c r="DK43" s="102"/>
      <c r="DL43" s="102"/>
      <c r="DM43" s="102"/>
      <c r="DN43" s="102"/>
      <c r="DO43" s="102"/>
      <c r="DP43" s="102"/>
      <c r="DQ43" s="102"/>
      <c r="DR43" s="102"/>
      <c r="DS43" s="102"/>
      <c r="DT43" s="102"/>
      <c r="DU43" s="102"/>
      <c r="DV43" s="102"/>
      <c r="DW43" s="102"/>
      <c r="DX43" s="102"/>
      <c r="DY43" s="102"/>
      <c r="DZ43" s="102"/>
      <c r="EA43" s="102"/>
      <c r="EB43" s="102"/>
      <c r="EC43" s="102"/>
      <c r="ED43" s="102"/>
      <c r="EE43" s="102"/>
      <c r="EF43" s="102"/>
      <c r="EG43" s="102"/>
      <c r="EH43" s="103"/>
    </row>
    <row r="44" spans="1:138" s="104" customFormat="1" ht="24" customHeight="1" thickBot="1" x14ac:dyDescent="0.25">
      <c r="A44" s="123"/>
      <c r="B44" s="123"/>
      <c r="C44" s="123"/>
      <c r="D44" s="177" t="s">
        <v>165</v>
      </c>
      <c r="E44" s="178">
        <f>SUBTOTAL(9,E3:E40)</f>
        <v>42924007.181034215</v>
      </c>
      <c r="F44" s="178">
        <f>SUMIFS($F$3:$F$40,$A$3:$A$40,$D$41)</f>
        <v>8035141.8717535008</v>
      </c>
      <c r="G44" s="124">
        <f t="shared" ref="G44" si="377">(J44+P44+X44+AB44+AH44+AN44+AT44+AZ44+BF44+BL44+BR44+BX44)/E44</f>
        <v>0.7888720842428274</v>
      </c>
      <c r="H44" s="125">
        <f t="shared" ref="H44" si="378">(E44-F44)/E44</f>
        <v>0.81280541125005235</v>
      </c>
      <c r="I44" s="126"/>
      <c r="J44" s="127">
        <f>SUBTOTAL(9,J41:J43)</f>
        <v>2682441.8640861488</v>
      </c>
      <c r="K44" s="128"/>
      <c r="L44" s="129">
        <f>SUBTOTAL(9,L41:L43)</f>
        <v>2682441.8640861488</v>
      </c>
      <c r="M44" s="130"/>
      <c r="N44" s="131">
        <f>SUBTOTAL(9,N41:N43)</f>
        <v>2682442.4813999999</v>
      </c>
      <c r="O44" s="126"/>
      <c r="P44" s="127">
        <f>SUBTOTAL(9,P41:P43)</f>
        <v>3504830.0950684338</v>
      </c>
      <c r="Q44" s="128"/>
      <c r="R44" s="129">
        <f>SUBTOTAL(9,R41:R43)</f>
        <v>3504830.0950684338</v>
      </c>
      <c r="S44" s="130"/>
      <c r="T44" s="131">
        <f>SUBTOTAL(9,T41:T43)</f>
        <v>3504830.0950684338</v>
      </c>
      <c r="U44" s="126"/>
      <c r="V44" s="127">
        <f>SUBTOTAL(9,V41:V43)</f>
        <v>5536322.335068264</v>
      </c>
      <c r="W44" s="128"/>
      <c r="X44" s="129">
        <f>SUBTOTAL(9,X41:X43)</f>
        <v>5536322.335068264</v>
      </c>
      <c r="Y44" s="130"/>
      <c r="Z44" s="131">
        <f>SUBTOTAL(9,Z41:Z43)</f>
        <v>4819988.1303637233</v>
      </c>
      <c r="AA44" s="126"/>
      <c r="AB44" s="127">
        <f>SUBTOTAL(9,AB41:AB43)</f>
        <v>3379739.772766693</v>
      </c>
      <c r="AC44" s="128"/>
      <c r="AD44" s="129">
        <f>SUBTOTAL(9,AD41:AD43)</f>
        <v>4024944.8583181165</v>
      </c>
      <c r="AE44" s="130"/>
      <c r="AF44" s="131">
        <f>SUBTOTAL(9,AF41:AF43)</f>
        <v>3858000.8059420362</v>
      </c>
      <c r="AG44" s="126"/>
      <c r="AH44" s="127">
        <f>SUBTOTAL(9,AH41:AH43)</f>
        <v>3563364.7476572138</v>
      </c>
      <c r="AI44" s="128"/>
      <c r="AJ44" s="129">
        <f>SUBTOTAL(9,AJ41:AJ43)</f>
        <v>3563364.7476572138</v>
      </c>
      <c r="AK44" s="130"/>
      <c r="AL44" s="131">
        <f>SUBTOTAL(9,AL41:AL43)</f>
        <v>3172783.1449003131</v>
      </c>
      <c r="AM44" s="126"/>
      <c r="AN44" s="127">
        <f>SUBTOTAL(9,AN41:AN43)</f>
        <v>2683040.9223662</v>
      </c>
      <c r="AO44" s="128"/>
      <c r="AP44" s="129">
        <f>SUBTOTAL(9,AP41:AP43)</f>
        <v>2683040.9223662</v>
      </c>
      <c r="AQ44" s="130"/>
      <c r="AR44" s="131">
        <f>SUBTOTAL(9,AR41:AR43)</f>
        <v>2208432.1647103997</v>
      </c>
      <c r="AS44" s="126"/>
      <c r="AT44" s="127">
        <f>SUBTOTAL(9,AT41:AT43)</f>
        <v>3079978.0868043997</v>
      </c>
      <c r="AU44" s="128"/>
      <c r="AV44" s="129">
        <f>SUBTOTAL(9,AV41:AV43)</f>
        <v>3079978.0868043997</v>
      </c>
      <c r="AW44" s="130"/>
      <c r="AX44" s="131">
        <f>SUBTOTAL(9,AX41:AX43)</f>
        <v>0</v>
      </c>
      <c r="AY44" s="126"/>
      <c r="AZ44" s="127">
        <f>SUBTOTAL(9,AZ41:AZ43)</f>
        <v>2477000.9923422001</v>
      </c>
      <c r="BA44" s="128"/>
      <c r="BB44" s="129">
        <f>SUBTOTAL(9,BB41:BB43)</f>
        <v>2477000.9923422001</v>
      </c>
      <c r="BC44" s="130"/>
      <c r="BD44" s="131">
        <f>SUBTOTAL(9,BD41:BD43)</f>
        <v>0</v>
      </c>
      <c r="BE44" s="126"/>
      <c r="BF44" s="127">
        <f>SUBTOTAL(9,BF41:BF43)</f>
        <v>2406191.2191845998</v>
      </c>
      <c r="BG44" s="128"/>
      <c r="BH44" s="129">
        <f>SUBTOTAL(9,BH41:BH43)</f>
        <v>2406191.2191845998</v>
      </c>
      <c r="BI44" s="130"/>
      <c r="BJ44" s="131">
        <f>SUBTOTAL(9,BJ41:BJ43)</f>
        <v>0</v>
      </c>
      <c r="BK44" s="126"/>
      <c r="BL44" s="127">
        <f>SUBTOTAL(9,BL41:BL43)</f>
        <v>2195616.6715446003</v>
      </c>
      <c r="BM44" s="128"/>
      <c r="BN44" s="129">
        <f>SUBTOTAL(9,BN41:BN43)</f>
        <v>2195616.6715446003</v>
      </c>
      <c r="BO44" s="130"/>
      <c r="BP44" s="131">
        <f>SUBTOTAL(9,BP41:BP43)</f>
        <v>0</v>
      </c>
      <c r="BQ44" s="126"/>
      <c r="BR44" s="127">
        <f>SUBTOTAL(9,BR41:BR43)</f>
        <v>1629555.5620566001</v>
      </c>
      <c r="BS44" s="128"/>
      <c r="BT44" s="129">
        <f>SUBTOTAL(9,BT41:BT43)</f>
        <v>1629555.5620566001</v>
      </c>
      <c r="BU44" s="130"/>
      <c r="BV44" s="131">
        <f>SUBTOTAL(9,BV41:BV43)</f>
        <v>0</v>
      </c>
      <c r="BW44" s="126"/>
      <c r="BX44" s="127">
        <f>SUBTOTAL(9,BX41:BX43)</f>
        <v>723468.74001120008</v>
      </c>
      <c r="BY44" s="128"/>
      <c r="BZ44" s="129">
        <f>SUBTOTAL(9,BZ41:BZ43)</f>
        <v>723468.74001120008</v>
      </c>
      <c r="CA44" s="130"/>
      <c r="CB44" s="131">
        <f>SUBTOTAL(9,CB41:CB43)</f>
        <v>0</v>
      </c>
      <c r="CC44" s="102"/>
      <c r="CD44" s="102"/>
      <c r="CE44" s="102"/>
      <c r="CF44" s="102"/>
      <c r="CG44" s="102"/>
      <c r="CH44" s="102"/>
      <c r="CI44" s="102"/>
      <c r="CJ44" s="102"/>
      <c r="CK44" s="102"/>
      <c r="CL44" s="102"/>
      <c r="CM44" s="102"/>
      <c r="CN44" s="102"/>
      <c r="CO44" s="102"/>
      <c r="CP44" s="102"/>
      <c r="CQ44" s="102"/>
      <c r="CR44" s="102"/>
      <c r="CS44" s="102"/>
      <c r="CT44" s="102"/>
      <c r="CU44" s="102"/>
      <c r="CV44" s="102"/>
      <c r="CW44" s="102"/>
      <c r="CX44" s="102"/>
      <c r="CY44" s="102"/>
      <c r="CZ44" s="102"/>
      <c r="DA44" s="102"/>
      <c r="DB44" s="102"/>
      <c r="DC44" s="102"/>
      <c r="DD44" s="102"/>
      <c r="DE44" s="102"/>
      <c r="DF44" s="102"/>
      <c r="DG44" s="102"/>
      <c r="DH44" s="102"/>
      <c r="DI44" s="102"/>
      <c r="DJ44" s="102"/>
      <c r="DK44" s="102"/>
      <c r="DL44" s="102"/>
      <c r="DM44" s="102"/>
      <c r="DN44" s="102"/>
      <c r="DO44" s="102"/>
      <c r="DP44" s="102"/>
      <c r="DQ44" s="102"/>
      <c r="DR44" s="102"/>
      <c r="DS44" s="102"/>
      <c r="DT44" s="102"/>
      <c r="DU44" s="102"/>
      <c r="DV44" s="102"/>
      <c r="DW44" s="102"/>
      <c r="DX44" s="102"/>
      <c r="DY44" s="102"/>
      <c r="DZ44" s="102"/>
      <c r="EA44" s="102"/>
      <c r="EB44" s="102"/>
      <c r="EC44" s="102"/>
      <c r="ED44" s="102"/>
      <c r="EE44" s="102"/>
      <c r="EF44" s="102"/>
      <c r="EG44" s="102"/>
      <c r="EH44" s="103"/>
    </row>
    <row r="45" spans="1:138" s="137" customFormat="1" ht="18" customHeight="1" thickBot="1" x14ac:dyDescent="0.25">
      <c r="A45" s="132"/>
      <c r="B45" s="133"/>
      <c r="C45" s="133"/>
      <c r="D45" s="133"/>
      <c r="E45" s="134"/>
      <c r="F45" s="133"/>
      <c r="G45" s="135"/>
      <c r="H45" s="133"/>
      <c r="I45" s="335" t="str">
        <f>"EFETIVIDADE: "&amp;ROUND(IFERROR(N44/J44,0),2)*100&amp;"%"</f>
        <v>EFETIVIDADE: 100%</v>
      </c>
      <c r="J45" s="336"/>
      <c r="K45" s="336"/>
      <c r="L45" s="336"/>
      <c r="M45" s="336"/>
      <c r="N45" s="337"/>
      <c r="O45" s="335" t="str">
        <f>"EFETIVIDADE: "&amp;ROUND(IFERROR(T44/P44,0),2)*100&amp;"%"</f>
        <v>EFETIVIDADE: 100%</v>
      </c>
      <c r="P45" s="336"/>
      <c r="Q45" s="336"/>
      <c r="R45" s="336"/>
      <c r="S45" s="336"/>
      <c r="T45" s="337"/>
      <c r="U45" s="335" t="str">
        <f>"EFETIVIDADE: "&amp;ROUND(IFERROR(Z44/V44,0),2)*100&amp;"%"</f>
        <v>EFETIVIDADE: 87%</v>
      </c>
      <c r="V45" s="336"/>
      <c r="W45" s="336"/>
      <c r="X45" s="336"/>
      <c r="Y45" s="336"/>
      <c r="Z45" s="337"/>
      <c r="AA45" s="335" t="str">
        <f>"EFETIVIDADE: "&amp;ROUND(IFERROR(AF44/AB44,0),2)*100&amp;"%"</f>
        <v>EFETIVIDADE: 114%</v>
      </c>
      <c r="AB45" s="336"/>
      <c r="AC45" s="336"/>
      <c r="AD45" s="336"/>
      <c r="AE45" s="336"/>
      <c r="AF45" s="337"/>
      <c r="AG45" s="335" t="str">
        <f>"EFETIVIDADE: "&amp;ROUND(IFERROR(AL44/AH44,0),2)*100&amp;"%"</f>
        <v>EFETIVIDADE: 89%</v>
      </c>
      <c r="AH45" s="336"/>
      <c r="AI45" s="336"/>
      <c r="AJ45" s="336"/>
      <c r="AK45" s="336"/>
      <c r="AL45" s="337"/>
      <c r="AM45" s="335" t="str">
        <f>"EFETIVIDADE: "&amp;ROUND(IFERROR(AR44/AN44,0),2)*100&amp;"%"</f>
        <v>EFETIVIDADE: 82%</v>
      </c>
      <c r="AN45" s="336"/>
      <c r="AO45" s="336"/>
      <c r="AP45" s="336"/>
      <c r="AQ45" s="336"/>
      <c r="AR45" s="337"/>
      <c r="AS45" s="335" t="str">
        <f>"EFETIVIDADE: "&amp;ROUND(IFERROR(AX44/AT44,0),2)*100&amp;"%"</f>
        <v>EFETIVIDADE: 0%</v>
      </c>
      <c r="AT45" s="336"/>
      <c r="AU45" s="336"/>
      <c r="AV45" s="336"/>
      <c r="AW45" s="336"/>
      <c r="AX45" s="337"/>
      <c r="AY45" s="335" t="str">
        <f>"EFETIVIDADE: "&amp;ROUND(IFERROR(BD44/AZ44,0),2)*100&amp;"%"</f>
        <v>EFETIVIDADE: 0%</v>
      </c>
      <c r="AZ45" s="336"/>
      <c r="BA45" s="336"/>
      <c r="BB45" s="336"/>
      <c r="BC45" s="336"/>
      <c r="BD45" s="337"/>
      <c r="BE45" s="335" t="str">
        <f>"EFETIVIDADE: "&amp;ROUND(IFERROR(BJ44/BF44,0),2)*100&amp;"%"</f>
        <v>EFETIVIDADE: 0%</v>
      </c>
      <c r="BF45" s="336"/>
      <c r="BG45" s="336"/>
      <c r="BH45" s="336"/>
      <c r="BI45" s="336"/>
      <c r="BJ45" s="337"/>
      <c r="BK45" s="335" t="str">
        <f>"EFETIVIDADE: "&amp;ROUND(IFERROR(BP44/BL44,0),2)*100&amp;"%"</f>
        <v>EFETIVIDADE: 0%</v>
      </c>
      <c r="BL45" s="336"/>
      <c r="BM45" s="336"/>
      <c r="BN45" s="336"/>
      <c r="BO45" s="336"/>
      <c r="BP45" s="337"/>
      <c r="BQ45" s="335" t="str">
        <f>"EFETIVIDADE: "&amp;ROUND(IFERROR(BV44/BR44,0),2)*100&amp;"%"</f>
        <v>EFETIVIDADE: 0%</v>
      </c>
      <c r="BR45" s="336"/>
      <c r="BS45" s="336"/>
      <c r="BT45" s="336"/>
      <c r="BU45" s="336"/>
      <c r="BV45" s="337"/>
      <c r="BW45" s="335" t="str">
        <f>"EFETIVIDADE: "&amp;ROUND(IFERROR(CB44/BX44,0),2)*100&amp;"%"</f>
        <v>EFETIVIDADE: 0%</v>
      </c>
      <c r="BX45" s="336"/>
      <c r="BY45" s="336"/>
      <c r="BZ45" s="336"/>
      <c r="CA45" s="336"/>
      <c r="CB45" s="337"/>
      <c r="CC45" s="19"/>
      <c r="CD45" s="19"/>
      <c r="CE45" s="19"/>
      <c r="CF45" s="19"/>
      <c r="CG45" s="19"/>
      <c r="CH45" s="19"/>
      <c r="CI45" s="19"/>
      <c r="CJ45" s="19"/>
      <c r="CK45" s="19"/>
      <c r="CL45" s="19"/>
      <c r="CM45" s="19"/>
      <c r="CN45" s="19"/>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c r="DM45" s="19"/>
      <c r="DN45" s="19"/>
      <c r="DO45" s="19"/>
      <c r="DP45" s="19"/>
      <c r="DQ45" s="19"/>
      <c r="DR45" s="19"/>
      <c r="DS45" s="19"/>
      <c r="DT45" s="19"/>
      <c r="DU45" s="19"/>
      <c r="DV45" s="19"/>
      <c r="DW45" s="19"/>
      <c r="DX45" s="19"/>
      <c r="DY45" s="19"/>
      <c r="DZ45" s="19"/>
      <c r="EA45" s="19"/>
      <c r="EB45" s="19"/>
      <c r="EC45" s="19"/>
      <c r="ED45" s="19"/>
      <c r="EE45" s="19"/>
      <c r="EF45" s="19"/>
      <c r="EG45" s="19"/>
      <c r="EH45" s="136"/>
    </row>
    <row r="48" spans="1:138" x14ac:dyDescent="0.25">
      <c r="D48" s="141"/>
    </row>
    <row r="49" spans="4:4" x14ac:dyDescent="0.25">
      <c r="D49" s="141"/>
    </row>
    <row r="50" spans="4:4" x14ac:dyDescent="0.25">
      <c r="D50" s="141"/>
    </row>
    <row r="51" spans="4:4" x14ac:dyDescent="0.25">
      <c r="D51" s="142"/>
    </row>
    <row r="52" spans="4:4" x14ac:dyDescent="0.2">
      <c r="D52" s="143"/>
    </row>
    <row r="53" spans="4:4" x14ac:dyDescent="0.2">
      <c r="D53" s="276"/>
    </row>
    <row r="54" spans="4:4" x14ac:dyDescent="0.2">
      <c r="D54" s="276"/>
    </row>
    <row r="55" spans="4:4" ht="13.9" customHeight="1" x14ac:dyDescent="0.2">
      <c r="D55" s="277"/>
    </row>
    <row r="56" spans="4:4" x14ac:dyDescent="0.2">
      <c r="D56" s="278"/>
    </row>
    <row r="57" spans="4:4" x14ac:dyDescent="0.2">
      <c r="D57" s="276"/>
    </row>
  </sheetData>
  <mergeCells count="25">
    <mergeCell ref="U1:Z1"/>
    <mergeCell ref="U45:Z45"/>
    <mergeCell ref="C1:H1"/>
    <mergeCell ref="I1:N1"/>
    <mergeCell ref="O1:T1"/>
    <mergeCell ref="I45:N45"/>
    <mergeCell ref="O45:T45"/>
    <mergeCell ref="AA1:AF1"/>
    <mergeCell ref="AA45:AF45"/>
    <mergeCell ref="AG1:AL1"/>
    <mergeCell ref="AG45:AL45"/>
    <mergeCell ref="AM1:AR1"/>
    <mergeCell ref="AM45:AR45"/>
    <mergeCell ref="AY1:BD1"/>
    <mergeCell ref="AY45:BD45"/>
    <mergeCell ref="AS1:AX1"/>
    <mergeCell ref="AS45:AX45"/>
    <mergeCell ref="BE1:BJ1"/>
    <mergeCell ref="BE45:BJ45"/>
    <mergeCell ref="BK1:BP1"/>
    <mergeCell ref="BK45:BP45"/>
    <mergeCell ref="BQ1:BV1"/>
    <mergeCell ref="BQ45:BV45"/>
    <mergeCell ref="BW1:CB1"/>
    <mergeCell ref="BW45:CB45"/>
  </mergeCells>
  <conditionalFormatting sqref="A3:B3">
    <cfRule type="expression" dxfId="1141" priority="5106">
      <formula>A3="REALIZADO"</formula>
    </cfRule>
  </conditionalFormatting>
  <conditionalFormatting sqref="A1:C1 A47:C51 A46:H46 D47 A44:E44 E24 A13:H13 A14:F14 A2:H4 E6:H7 A6:D6 A41:E42 H47 G41:H42 G44:H44 A52:D58 H52:M58 E47:G58 I24:J26 M24:P26 S24:V26 Y24:AB24 AF24:AH26 AQ24:AT26 AW24:AZ26 BC24:BF26 BI24:BL26 BO24:BR26 BU24:BX26 CA24:CB26 Y26:AB26 Z25:AB25 AM24:AN26 N46:N1048576 A59:M1048576 T46:T1048576 Z46:Z1048576 AF46:AF1048576 AL46:AL1048576 AR46:AR1048576 AX46:AX1048576 BD46:BD1048576 BJ46:BJ1048576 BP46:BP1048576 BV46:BV1048576 CB46:CB1048576 O52:S1048576 U52:Y1048576 AA52:AE1048576 AG52:AK1048576 AM52:AQ1048576 AS52:AW1048576 AY52:BC1048576 BE52:BI1048576 BK52:BO1048576 BQ52:BU1048576 BW52:CA1048576">
    <cfRule type="expression" dxfId="1140" priority="5108">
      <formula>$A1="PREVISTO"</formula>
    </cfRule>
  </conditionalFormatting>
  <conditionalFormatting sqref="A1:C1 A47:C51 A46:H46 D47 A44:E44 E24 A13:H13 A14:F14 A2:H4 E6:H7 A6:D6 A41:E42 H47 G41:H42 G44:H44 A52:D58 H52:M58 E47:G58 I24:J26 M24:P26 S24:V26 Y24:AB24 AF24:AH26 AQ24:AT26 AW24:AZ26 BC24:BF26 BI24:BL26 BO24:BR26 BU24:BX26 CA24:CB26 Y26:AB26 Z25:AB25 AM24:AN26 N46:N1048576 A59:M1048576 T46:T1048576 Z46:Z1048576 AF46:AF1048576 AL46:AL1048576 AR46:AR1048576 AX46:AX1048576 BD46:BD1048576 BJ46:BJ1048576 BP46:BP1048576 BV46:BV1048576 CB46:CB1048576 O52:S1048576 U52:Y1048576 AA52:AE1048576 AG52:AK1048576 AM52:AQ1048576 AS52:AW1048576 AY52:BC1048576 BE52:BI1048576 BK52:BO1048576 BQ52:BU1048576 BW52:CA1048576">
    <cfRule type="expression" dxfId="1139" priority="5107">
      <formula>$A1="REALIZADO"</formula>
    </cfRule>
  </conditionalFormatting>
  <conditionalFormatting sqref="A45:H45 H48:H51">
    <cfRule type="expression" dxfId="1138" priority="5101">
      <formula>$A45="REALIZADO"</formula>
    </cfRule>
    <cfRule type="expression" dxfId="1137" priority="5102">
      <formula>$A45="PREVISTO"</formula>
    </cfRule>
  </conditionalFormatting>
  <conditionalFormatting sqref="A7:D7">
    <cfRule type="expression" dxfId="1136" priority="5100">
      <formula>$A7="PREVISTO"</formula>
    </cfRule>
  </conditionalFormatting>
  <conditionalFormatting sqref="A7:D7">
    <cfRule type="expression" dxfId="1135" priority="5099">
      <formula>$A7="REALIZADO"</formula>
    </cfRule>
  </conditionalFormatting>
  <conditionalFormatting sqref="A24:D24">
    <cfRule type="expression" dxfId="1134" priority="5094">
      <formula>$A24="PREVISTO"</formula>
    </cfRule>
  </conditionalFormatting>
  <conditionalFormatting sqref="A24:D24">
    <cfRule type="expression" dxfId="1133" priority="5093">
      <formula>$A24="REALIZADO"</formula>
    </cfRule>
  </conditionalFormatting>
  <conditionalFormatting sqref="A40:D40 A39:H39 F40">
    <cfRule type="expression" dxfId="1132" priority="5080">
      <formula>$A39="PREVISTO"</formula>
    </cfRule>
  </conditionalFormatting>
  <conditionalFormatting sqref="A39:H39 F40">
    <cfRule type="expression" dxfId="1131" priority="5079">
      <formula>$A39="REALIZADO"</formula>
    </cfRule>
  </conditionalFormatting>
  <conditionalFormatting sqref="A40:D40">
    <cfRule type="expression" dxfId="1130" priority="5076">
      <formula>$A40="REALIZADO"</formula>
    </cfRule>
  </conditionalFormatting>
  <conditionalFormatting sqref="E40">
    <cfRule type="expression" dxfId="1129" priority="5075">
      <formula>$A40="PREVISTO"</formula>
    </cfRule>
  </conditionalFormatting>
  <conditionalFormatting sqref="E40">
    <cfRule type="expression" dxfId="1128" priority="5074">
      <formula>$A40="REALIZADO"</formula>
    </cfRule>
  </conditionalFormatting>
  <conditionalFormatting sqref="A43:D43 G43:H43">
    <cfRule type="expression" dxfId="1127" priority="5069">
      <formula>$A43="PREVISTO"</formula>
    </cfRule>
  </conditionalFormatting>
  <conditionalFormatting sqref="A43:D43 G43:H43">
    <cfRule type="expression" dxfId="1126" priority="5068">
      <formula>$A43="REALIZADO"</formula>
    </cfRule>
  </conditionalFormatting>
  <conditionalFormatting sqref="E43">
    <cfRule type="expression" dxfId="1125" priority="5063">
      <formula>$A43="PREVISTO"</formula>
    </cfRule>
  </conditionalFormatting>
  <conditionalFormatting sqref="E43">
    <cfRule type="expression" dxfId="1124" priority="5062">
      <formula>$A43="REALIZADO"</formula>
    </cfRule>
  </conditionalFormatting>
  <conditionalFormatting sqref="A15:E15">
    <cfRule type="expression" dxfId="1123" priority="5061">
      <formula>$A15="PREVISTO"</formula>
    </cfRule>
  </conditionalFormatting>
  <conditionalFormatting sqref="A15:E15">
    <cfRule type="expression" dxfId="1122" priority="5060">
      <formula>$A15="REALIZADO"</formula>
    </cfRule>
  </conditionalFormatting>
  <conditionalFormatting sqref="F15">
    <cfRule type="expression" dxfId="1121" priority="5015">
      <formula>$A15="PREVISTO"</formula>
    </cfRule>
  </conditionalFormatting>
  <conditionalFormatting sqref="F15">
    <cfRule type="expression" dxfId="1120" priority="5014">
      <formula>$A15="REALIZADO"</formula>
    </cfRule>
  </conditionalFormatting>
  <conditionalFormatting sqref="G14:H15">
    <cfRule type="expression" dxfId="1119" priority="4882">
      <formula>$A14="PREVISTO"</formula>
    </cfRule>
  </conditionalFormatting>
  <conditionalFormatting sqref="G14:H15">
    <cfRule type="expression" dxfId="1118" priority="4881">
      <formula>$A14="REALIZADO"</formula>
    </cfRule>
  </conditionalFormatting>
  <conditionalFormatting sqref="G40:H40">
    <cfRule type="expression" dxfId="1117" priority="4880">
      <formula>$A40="PREVISTO"</formula>
    </cfRule>
  </conditionalFormatting>
  <conditionalFormatting sqref="G40:H40">
    <cfRule type="expression" dxfId="1116" priority="4879">
      <formula>$A40="REALIZADO"</formula>
    </cfRule>
  </conditionalFormatting>
  <conditionalFormatting sqref="A5:H5">
    <cfRule type="expression" dxfId="1115" priority="4878">
      <formula>$A5="PREVISTO"</formula>
    </cfRule>
  </conditionalFormatting>
  <conditionalFormatting sqref="A5:H5">
    <cfRule type="expression" dxfId="1114" priority="4877">
      <formula>$A5="REALIZADO"</formula>
    </cfRule>
  </conditionalFormatting>
  <conditionalFormatting sqref="M10">
    <cfRule type="expression" dxfId="1113" priority="4501">
      <formula>$A10="PREVISTO"</formula>
    </cfRule>
  </conditionalFormatting>
  <conditionalFormatting sqref="M10">
    <cfRule type="expression" dxfId="1112" priority="4500">
      <formula>$A10="REALIZADO"</formula>
    </cfRule>
  </conditionalFormatting>
  <conditionalFormatting sqref="M14:M15 M21 M17:M18">
    <cfRule type="expression" dxfId="1111" priority="4489">
      <formula>$A14="PREVISTO"</formula>
    </cfRule>
  </conditionalFormatting>
  <conditionalFormatting sqref="M14:M15 M21 M17:M18">
    <cfRule type="expression" dxfId="1110" priority="4488">
      <formula>$A14="REALIZADO"</formula>
    </cfRule>
  </conditionalFormatting>
  <conditionalFormatting sqref="A8:H8">
    <cfRule type="expression" dxfId="1109" priority="4789">
      <formula>$A8="PREVISTO"</formula>
    </cfRule>
  </conditionalFormatting>
  <conditionalFormatting sqref="A8:H8">
    <cfRule type="expression" dxfId="1108" priority="4788">
      <formula>$A8="REALIZADO"</formula>
    </cfRule>
  </conditionalFormatting>
  <conditionalFormatting sqref="N5">
    <cfRule type="expression" dxfId="1107" priority="4547">
      <formula>$A5="PREVISTO"</formula>
    </cfRule>
  </conditionalFormatting>
  <conditionalFormatting sqref="N5">
    <cfRule type="expression" dxfId="1106" priority="4546">
      <formula>$A5="REALIZADO"</formula>
    </cfRule>
  </conditionalFormatting>
  <conditionalFormatting sqref="A25:F25">
    <cfRule type="expression" dxfId="1105" priority="4761">
      <formula>$A25="PREVISTO"</formula>
    </cfRule>
  </conditionalFormatting>
  <conditionalFormatting sqref="E25:F25">
    <cfRule type="expression" dxfId="1104" priority="4760">
      <formula>$A25="REALIZADO"</formula>
    </cfRule>
  </conditionalFormatting>
  <conditionalFormatting sqref="A25:D25">
    <cfRule type="expression" dxfId="1103" priority="4759">
      <formula>$A25="REALIZADO"</formula>
    </cfRule>
  </conditionalFormatting>
  <conditionalFormatting sqref="G25:H25">
    <cfRule type="expression" dxfId="1102" priority="4732">
      <formula>$A25="PREVISTO"</formula>
    </cfRule>
  </conditionalFormatting>
  <conditionalFormatting sqref="G25:H25">
    <cfRule type="expression" dxfId="1101" priority="4731">
      <formula>$A25="REALIZADO"</formula>
    </cfRule>
  </conditionalFormatting>
  <conditionalFormatting sqref="A26:E26">
    <cfRule type="expression" dxfId="1100" priority="4728">
      <formula>$A26="PREVISTO"</formula>
    </cfRule>
  </conditionalFormatting>
  <conditionalFormatting sqref="E26">
    <cfRule type="expression" dxfId="1099" priority="4727">
      <formula>$A26="REALIZADO"</formula>
    </cfRule>
  </conditionalFormatting>
  <conditionalFormatting sqref="A26:D26">
    <cfRule type="expression" dxfId="1098" priority="4726">
      <formula>$A26="REALIZADO"</formula>
    </cfRule>
  </conditionalFormatting>
  <conditionalFormatting sqref="G26:H26">
    <cfRule type="expression" dxfId="1097" priority="4699">
      <formula>$A26="PREVISTO"</formula>
    </cfRule>
  </conditionalFormatting>
  <conditionalFormatting sqref="G26:H26">
    <cfRule type="expression" dxfId="1096" priority="4698">
      <formula>$A26="REALIZADO"</formula>
    </cfRule>
  </conditionalFormatting>
  <conditionalFormatting sqref="F24">
    <cfRule type="expression" dxfId="1095" priority="4662">
      <formula>$A24="PREVISTO"</formula>
    </cfRule>
  </conditionalFormatting>
  <conditionalFormatting sqref="F24">
    <cfRule type="expression" dxfId="1094" priority="4661">
      <formula>$A24="REALIZADO"</formula>
    </cfRule>
  </conditionalFormatting>
  <conditionalFormatting sqref="G24:H24">
    <cfRule type="expression" dxfId="1093" priority="4660">
      <formula>$A24="PREVISTO"</formula>
    </cfRule>
  </conditionalFormatting>
  <conditionalFormatting sqref="G24:H24">
    <cfRule type="expression" dxfId="1092" priority="4659">
      <formula>$A24="REALIZADO"</formula>
    </cfRule>
  </conditionalFormatting>
  <conditionalFormatting sqref="J3 J13 L13 L3 N3 N13">
    <cfRule type="expression" dxfId="1091" priority="4562">
      <formula>$A3="PREVISTO"</formula>
    </cfRule>
  </conditionalFormatting>
  <conditionalFormatting sqref="J13 J3 L3 L13 N13 N3">
    <cfRule type="expression" dxfId="1090" priority="4561">
      <formula>$A3="REALIZADO"</formula>
    </cfRule>
  </conditionalFormatting>
  <conditionalFormatting sqref="I3:I4 N2 I13 I6:I7">
    <cfRule type="expression" dxfId="1089" priority="4578">
      <formula>$A2="PREVISTO"</formula>
    </cfRule>
  </conditionalFormatting>
  <conditionalFormatting sqref="I2:J2 I13 I3:I4 I6:I7 N2">
    <cfRule type="expression" dxfId="1088" priority="4577">
      <formula>$A2="REALIZADO"</formula>
    </cfRule>
  </conditionalFormatting>
  <conditionalFormatting sqref="I46:J47 I2:J2 L46:L47">
    <cfRule type="expression" dxfId="1087" priority="4576">
      <formula>$A2="PREVISTO"</formula>
    </cfRule>
  </conditionalFormatting>
  <conditionalFormatting sqref="I46:J47 L46:L47">
    <cfRule type="expression" dxfId="1086" priority="4575">
      <formula>$A46="REALIZADO"</formula>
    </cfRule>
  </conditionalFormatting>
  <conditionalFormatting sqref="I48:J51 L48:L51">
    <cfRule type="expression" dxfId="1085" priority="4571">
      <formula>$A48="REALIZADO"</formula>
    </cfRule>
    <cfRule type="expression" dxfId="1084" priority="4572">
      <formula>$A48="PREVISTO"</formula>
    </cfRule>
  </conditionalFormatting>
  <conditionalFormatting sqref="I1">
    <cfRule type="expression" dxfId="1083" priority="4573">
      <formula>$A1="REALIZADO"</formula>
    </cfRule>
    <cfRule type="expression" dxfId="1082" priority="4574">
      <formula>$A1="PREVISTO"</formula>
    </cfRule>
  </conditionalFormatting>
  <conditionalFormatting sqref="I39">
    <cfRule type="expression" dxfId="1081" priority="4570">
      <formula>$A39="PREVISTO"</formula>
    </cfRule>
  </conditionalFormatting>
  <conditionalFormatting sqref="I39">
    <cfRule type="expression" dxfId="1080" priority="4569">
      <formula>$A39="REALIZADO"</formula>
    </cfRule>
  </conditionalFormatting>
  <conditionalFormatting sqref="J39 L39 N39">
    <cfRule type="expression" dxfId="1079" priority="4560">
      <formula>$A39="REALIZADO"</formula>
    </cfRule>
  </conditionalFormatting>
  <conditionalFormatting sqref="J39 L39">
    <cfRule type="expression" dxfId="1078" priority="4558">
      <formula>$A39="PREVISTO"</formula>
    </cfRule>
  </conditionalFormatting>
  <conditionalFormatting sqref="N39">
    <cfRule type="expression" dxfId="1077" priority="4559">
      <formula>$A39="PREVISTO"</formula>
    </cfRule>
  </conditionalFormatting>
  <conditionalFormatting sqref="L4 L6:L7 N7 N4">
    <cfRule type="expression" dxfId="1076" priority="4557">
      <formula>$A4="PREVISTO"</formula>
    </cfRule>
  </conditionalFormatting>
  <conditionalFormatting sqref="L4 L6:L7 N7 N4">
    <cfRule type="expression" dxfId="1075" priority="4556">
      <formula>$A4="REALIZADO"</formula>
    </cfRule>
  </conditionalFormatting>
  <conditionalFormatting sqref="N6">
    <cfRule type="expression" dxfId="1074" priority="4553">
      <formula>$A6="PREVISTO"</formula>
    </cfRule>
  </conditionalFormatting>
  <conditionalFormatting sqref="N6">
    <cfRule type="expression" dxfId="1073" priority="4552">
      <formula>$A6="REALIZADO"</formula>
    </cfRule>
  </conditionalFormatting>
  <conditionalFormatting sqref="I5">
    <cfRule type="expression" dxfId="1072" priority="4551">
      <formula>$A5="PREVISTO"</formula>
    </cfRule>
  </conditionalFormatting>
  <conditionalFormatting sqref="I5">
    <cfRule type="expression" dxfId="1071" priority="4550">
      <formula>$A5="REALIZADO"</formula>
    </cfRule>
  </conditionalFormatting>
  <conditionalFormatting sqref="L5">
    <cfRule type="expression" dxfId="1070" priority="4549">
      <formula>$A5="PREVISTO"</formula>
    </cfRule>
  </conditionalFormatting>
  <conditionalFormatting sqref="L5">
    <cfRule type="expression" dxfId="1069" priority="4548">
      <formula>$A5="REALIZADO"</formula>
    </cfRule>
  </conditionalFormatting>
  <conditionalFormatting sqref="I10">
    <cfRule type="expression" dxfId="1068" priority="4545">
      <formula>$A10="PREVISTO"</formula>
    </cfRule>
  </conditionalFormatting>
  <conditionalFormatting sqref="I10">
    <cfRule type="expression" dxfId="1067" priority="4544">
      <formula>$A10="REALIZADO"</formula>
    </cfRule>
  </conditionalFormatting>
  <conditionalFormatting sqref="L10 N10">
    <cfRule type="expression" dxfId="1066" priority="4543">
      <formula>$A10="PREVISTO"</formula>
    </cfRule>
  </conditionalFormatting>
  <conditionalFormatting sqref="L10 N10">
    <cfRule type="expression" dxfId="1065" priority="4542">
      <formula>$A10="REALIZADO"</formula>
    </cfRule>
  </conditionalFormatting>
  <conditionalFormatting sqref="I8">
    <cfRule type="expression" dxfId="1064" priority="4541">
      <formula>$A8="PREVISTO"</formula>
    </cfRule>
  </conditionalFormatting>
  <conditionalFormatting sqref="I8">
    <cfRule type="expression" dxfId="1063" priority="4540">
      <formula>$A8="REALIZADO"</formula>
    </cfRule>
  </conditionalFormatting>
  <conditionalFormatting sqref="L8">
    <cfRule type="expression" dxfId="1062" priority="4539">
      <formula>$A8="PREVISTO"</formula>
    </cfRule>
  </conditionalFormatting>
  <conditionalFormatting sqref="L8">
    <cfRule type="expression" dxfId="1061" priority="4538">
      <formula>$A8="REALIZADO"</formula>
    </cfRule>
  </conditionalFormatting>
  <conditionalFormatting sqref="N8">
    <cfRule type="expression" dxfId="1060" priority="4537">
      <formula>$A8="PREVISTO"</formula>
    </cfRule>
  </conditionalFormatting>
  <conditionalFormatting sqref="N8">
    <cfRule type="expression" dxfId="1059" priority="4536">
      <formula>$A8="REALIZADO"</formula>
    </cfRule>
  </conditionalFormatting>
  <conditionalFormatting sqref="J4">
    <cfRule type="expression" dxfId="1058" priority="4516">
      <formula>$A4="REALIZADO"</formula>
    </cfRule>
  </conditionalFormatting>
  <conditionalFormatting sqref="K3:K4 K13 K6:K7">
    <cfRule type="expression" dxfId="1057" priority="4535">
      <formula>$A3="PREVISTO"</formula>
    </cfRule>
  </conditionalFormatting>
  <conditionalFormatting sqref="K13 K3:K4 K6:K7">
    <cfRule type="expression" dxfId="1056" priority="4534">
      <formula>$A3="REALIZADO"</formula>
    </cfRule>
  </conditionalFormatting>
  <conditionalFormatting sqref="K46:K47">
    <cfRule type="expression" dxfId="1055" priority="4533">
      <formula>$A46="PREVISTO"</formula>
    </cfRule>
  </conditionalFormatting>
  <conditionalFormatting sqref="K46:K47">
    <cfRule type="expression" dxfId="1054" priority="4532">
      <formula>$A46="REALIZADO"</formula>
    </cfRule>
  </conditionalFormatting>
  <conditionalFormatting sqref="K48:K51">
    <cfRule type="expression" dxfId="1053" priority="4528">
      <formula>$A48="REALIZADO"</formula>
    </cfRule>
    <cfRule type="expression" dxfId="1052" priority="4529">
      <formula>$A48="PREVISTO"</formula>
    </cfRule>
  </conditionalFormatting>
  <conditionalFormatting sqref="K1">
    <cfRule type="expression" dxfId="1051" priority="4530">
      <formula>$A1="REALIZADO"</formula>
    </cfRule>
    <cfRule type="expression" dxfId="1050" priority="4531">
      <formula>$A1="PREVISTO"</formula>
    </cfRule>
  </conditionalFormatting>
  <conditionalFormatting sqref="K39">
    <cfRule type="expression" dxfId="1049" priority="4527">
      <formula>$A39="PREVISTO"</formula>
    </cfRule>
  </conditionalFormatting>
  <conditionalFormatting sqref="K39">
    <cfRule type="expression" dxfId="1048" priority="4526">
      <formula>$A39="REALIZADO"</formula>
    </cfRule>
  </conditionalFormatting>
  <conditionalFormatting sqref="K5">
    <cfRule type="expression" dxfId="1047" priority="4523">
      <formula>$A5="PREVISTO"</formula>
    </cfRule>
  </conditionalFormatting>
  <conditionalFormatting sqref="K5">
    <cfRule type="expression" dxfId="1046" priority="4522">
      <formula>$A5="REALIZADO"</formula>
    </cfRule>
  </conditionalFormatting>
  <conditionalFormatting sqref="K10">
    <cfRule type="expression" dxfId="1045" priority="4521">
      <formula>$A10="PREVISTO"</formula>
    </cfRule>
  </conditionalFormatting>
  <conditionalFormatting sqref="K10">
    <cfRule type="expression" dxfId="1044" priority="4520">
      <formula>$A10="REALIZADO"</formula>
    </cfRule>
  </conditionalFormatting>
  <conditionalFormatting sqref="K8">
    <cfRule type="expression" dxfId="1043" priority="4519">
      <formula>$A8="PREVISTO"</formula>
    </cfRule>
  </conditionalFormatting>
  <conditionalFormatting sqref="K8">
    <cfRule type="expression" dxfId="1042" priority="4518">
      <formula>$A8="REALIZADO"</formula>
    </cfRule>
  </conditionalFormatting>
  <conditionalFormatting sqref="M46:M47 M2">
    <cfRule type="expression" dxfId="1041" priority="4513">
      <formula>$A2="PREVISTO"</formula>
    </cfRule>
  </conditionalFormatting>
  <conditionalFormatting sqref="M46:M47">
    <cfRule type="expression" dxfId="1040" priority="4512">
      <formula>$A46="REALIZADO"</formula>
    </cfRule>
  </conditionalFormatting>
  <conditionalFormatting sqref="J4">
    <cfRule type="expression" dxfId="1039" priority="4517">
      <formula>$A4="PREVISTO"</formula>
    </cfRule>
  </conditionalFormatting>
  <conditionalFormatting sqref="M3:M4 M13 M6:M7">
    <cfRule type="expression" dxfId="1038" priority="4515">
      <formula>$A3="PREVISTO"</formula>
    </cfRule>
  </conditionalFormatting>
  <conditionalFormatting sqref="M13 M2:M4 M6:M7">
    <cfRule type="expression" dxfId="1037" priority="4514">
      <formula>$A2="REALIZADO"</formula>
    </cfRule>
  </conditionalFormatting>
  <conditionalFormatting sqref="M48:M51">
    <cfRule type="expression" dxfId="1036" priority="4508">
      <formula>$A48="REALIZADO"</formula>
    </cfRule>
    <cfRule type="expression" dxfId="1035" priority="4509">
      <formula>$A48="PREVISTO"</formula>
    </cfRule>
  </conditionalFormatting>
  <conditionalFormatting sqref="M1">
    <cfRule type="expression" dxfId="1034" priority="4510">
      <formula>$A1="REALIZADO"</formula>
    </cfRule>
    <cfRule type="expression" dxfId="1033" priority="4511">
      <formula>$A1="PREVISTO"</formula>
    </cfRule>
  </conditionalFormatting>
  <conditionalFormatting sqref="M39">
    <cfRule type="expression" dxfId="1032" priority="4507">
      <formula>$A39="PREVISTO"</formula>
    </cfRule>
  </conditionalFormatting>
  <conditionalFormatting sqref="M39">
    <cfRule type="expression" dxfId="1031" priority="4506">
      <formula>$A39="REALIZADO"</formula>
    </cfRule>
  </conditionalFormatting>
  <conditionalFormatting sqref="K14">
    <cfRule type="expression" dxfId="1030" priority="4491">
      <formula>$A14="PREVISTO"</formula>
    </cfRule>
  </conditionalFormatting>
  <conditionalFormatting sqref="K14">
    <cfRule type="expression" dxfId="1029" priority="4490">
      <formula>$A14="REALIZADO"</formula>
    </cfRule>
  </conditionalFormatting>
  <conditionalFormatting sqref="M5">
    <cfRule type="expression" dxfId="1028" priority="4503">
      <formula>$A5="PREVISTO"</formula>
    </cfRule>
  </conditionalFormatting>
  <conditionalFormatting sqref="M5">
    <cfRule type="expression" dxfId="1027" priority="4502">
      <formula>$A5="REALIZADO"</formula>
    </cfRule>
  </conditionalFormatting>
  <conditionalFormatting sqref="M8">
    <cfRule type="expression" dxfId="1026" priority="4499">
      <formula>$A8="PREVISTO"</formula>
    </cfRule>
  </conditionalFormatting>
  <conditionalFormatting sqref="M8">
    <cfRule type="expression" dxfId="1025" priority="4498">
      <formula>$A8="REALIZADO"</formula>
    </cfRule>
  </conditionalFormatting>
  <conditionalFormatting sqref="N14:N15 N21 N17:N18">
    <cfRule type="expression" dxfId="1024" priority="4493">
      <formula>$A14="PREVISTO"</formula>
    </cfRule>
  </conditionalFormatting>
  <conditionalFormatting sqref="N14:N15 N21 N17:N18">
    <cfRule type="expression" dxfId="1023" priority="4492">
      <formula>$A14="REALIZADO"</formula>
    </cfRule>
  </conditionalFormatting>
  <conditionalFormatting sqref="I14:I15 I21 I17:I18">
    <cfRule type="expression" dxfId="1022" priority="4497">
      <formula>$A14="PREVISTO"</formula>
    </cfRule>
  </conditionalFormatting>
  <conditionalFormatting sqref="I14:I15 I21 I17:I18">
    <cfRule type="expression" dxfId="1021" priority="4496">
      <formula>$A14="REALIZADO"</formula>
    </cfRule>
  </conditionalFormatting>
  <conditionalFormatting sqref="J14:J15 L14 J21 J17:J18">
    <cfRule type="expression" dxfId="1020" priority="4495">
      <formula>$A14="PREVISTO"</formula>
    </cfRule>
  </conditionalFormatting>
  <conditionalFormatting sqref="J14:J15 L14 J21 J17:J18">
    <cfRule type="expression" dxfId="1019" priority="4494">
      <formula>$A14="REALIZADO"</formula>
    </cfRule>
  </conditionalFormatting>
  <conditionalFormatting sqref="L2">
    <cfRule type="expression" dxfId="1018" priority="4477">
      <formula>$A2="REALIZADO"</formula>
    </cfRule>
  </conditionalFormatting>
  <conditionalFormatting sqref="L2">
    <cfRule type="expression" dxfId="1017" priority="4476">
      <formula>$A2="PREVISTO"</formula>
    </cfRule>
  </conditionalFormatting>
  <conditionalFormatting sqref="K2">
    <cfRule type="expression" dxfId="1016" priority="4475">
      <formula>$A2="REALIZADO"</formula>
    </cfRule>
  </conditionalFormatting>
  <conditionalFormatting sqref="K2">
    <cfRule type="expression" dxfId="1015" priority="4474">
      <formula>$A2="PREVISTO"</formula>
    </cfRule>
  </conditionalFormatting>
  <conditionalFormatting sqref="J5:J8">
    <cfRule type="expression" dxfId="1014" priority="4472">
      <formula>$A5="REALIZADO"</formula>
    </cfRule>
  </conditionalFormatting>
  <conditionalFormatting sqref="J5:J8">
    <cfRule type="expression" dxfId="1013" priority="4473">
      <formula>$A5="PREVISTO"</formula>
    </cfRule>
  </conditionalFormatting>
  <conditionalFormatting sqref="J10">
    <cfRule type="expression" dxfId="1012" priority="4471">
      <formula>$A10="PREVISTO"</formula>
    </cfRule>
  </conditionalFormatting>
  <conditionalFormatting sqref="J10">
    <cfRule type="expression" dxfId="1011" priority="4470">
      <formula>$A10="REALIZADO"</formula>
    </cfRule>
  </conditionalFormatting>
  <conditionalFormatting sqref="I45">
    <cfRule type="expression" dxfId="1010" priority="3939">
      <formula>$A45="REALIZADO"</formula>
    </cfRule>
    <cfRule type="expression" dxfId="1009" priority="3940">
      <formula>$A45="PREVISTO"</formula>
    </cfRule>
  </conditionalFormatting>
  <conditionalFormatting sqref="K45">
    <cfRule type="expression" dxfId="1008" priority="3937">
      <formula>$A45="REALIZADO"</formula>
    </cfRule>
    <cfRule type="expression" dxfId="1007" priority="3938">
      <formula>$A45="PREVISTO"</formula>
    </cfRule>
  </conditionalFormatting>
  <conditionalFormatting sqref="M45">
    <cfRule type="expression" dxfId="1006" priority="3935">
      <formula>$A45="REALIZADO"</formula>
    </cfRule>
    <cfRule type="expression" dxfId="1005" priority="3936">
      <formula>$A45="PREVISTO"</formula>
    </cfRule>
  </conditionalFormatting>
  <conditionalFormatting sqref="K17">
    <cfRule type="expression" dxfId="1004" priority="3918">
      <formula>$A17="PREVISTO"</formula>
    </cfRule>
  </conditionalFormatting>
  <conditionalFormatting sqref="K17">
    <cfRule type="expression" dxfId="1003" priority="3917">
      <formula>$A17="REALIZADO"</formula>
    </cfRule>
  </conditionalFormatting>
  <conditionalFormatting sqref="L17">
    <cfRule type="expression" dxfId="1002" priority="3920">
      <formula>$A17="PREVISTO"</formula>
    </cfRule>
  </conditionalFormatting>
  <conditionalFormatting sqref="L17">
    <cfRule type="expression" dxfId="1001" priority="3919">
      <formula>$A17="REALIZADO"</formula>
    </cfRule>
  </conditionalFormatting>
  <conditionalFormatting sqref="K15">
    <cfRule type="expression" dxfId="1000" priority="3914">
      <formula>$A15="PREVISTO"</formula>
    </cfRule>
  </conditionalFormatting>
  <conditionalFormatting sqref="K15">
    <cfRule type="expression" dxfId="999" priority="3913">
      <formula>$A15="REALIZADO"</formula>
    </cfRule>
  </conditionalFormatting>
  <conditionalFormatting sqref="L15">
    <cfRule type="expression" dxfId="998" priority="3916">
      <formula>$A15="PREVISTO"</formula>
    </cfRule>
  </conditionalFormatting>
  <conditionalFormatting sqref="L15">
    <cfRule type="expression" dxfId="997" priority="3915">
      <formula>$A15="REALIZADO"</formula>
    </cfRule>
  </conditionalFormatting>
  <conditionalFormatting sqref="K18">
    <cfRule type="expression" dxfId="996" priority="3910">
      <formula>$A18="PREVISTO"</formula>
    </cfRule>
  </conditionalFormatting>
  <conditionalFormatting sqref="K18">
    <cfRule type="expression" dxfId="995" priority="3909">
      <formula>$A18="REALIZADO"</formula>
    </cfRule>
  </conditionalFormatting>
  <conditionalFormatting sqref="L18">
    <cfRule type="expression" dxfId="994" priority="3912">
      <formula>$A18="PREVISTO"</formula>
    </cfRule>
  </conditionalFormatting>
  <conditionalFormatting sqref="L18">
    <cfRule type="expression" dxfId="993" priority="3911">
      <formula>$A18="REALIZADO"</formula>
    </cfRule>
  </conditionalFormatting>
  <conditionalFormatting sqref="K21">
    <cfRule type="expression" dxfId="992" priority="3902">
      <formula>$A21="PREVISTO"</formula>
    </cfRule>
  </conditionalFormatting>
  <conditionalFormatting sqref="K21">
    <cfRule type="expression" dxfId="991" priority="3901">
      <formula>$A21="REALIZADO"</formula>
    </cfRule>
  </conditionalFormatting>
  <conditionalFormatting sqref="L21">
    <cfRule type="expression" dxfId="990" priority="3904">
      <formula>$A21="PREVISTO"</formula>
    </cfRule>
  </conditionalFormatting>
  <conditionalFormatting sqref="L21">
    <cfRule type="expression" dxfId="989" priority="3903">
      <formula>$A21="REALIZADO"</formula>
    </cfRule>
  </conditionalFormatting>
  <conditionalFormatting sqref="L25">
    <cfRule type="expression" dxfId="988" priority="3884">
      <formula>$A25="PREVISTO"</formula>
    </cfRule>
  </conditionalFormatting>
  <conditionalFormatting sqref="L25">
    <cfRule type="expression" dxfId="987" priority="3883">
      <formula>$A25="REALIZADO"</formula>
    </cfRule>
  </conditionalFormatting>
  <conditionalFormatting sqref="L24">
    <cfRule type="expression" dxfId="986" priority="3888">
      <formula>$A24="PREVISTO"</formula>
    </cfRule>
  </conditionalFormatting>
  <conditionalFormatting sqref="L24">
    <cfRule type="expression" dxfId="985" priority="3887">
      <formula>$A24="REALIZADO"</formula>
    </cfRule>
  </conditionalFormatting>
  <conditionalFormatting sqref="K24">
    <cfRule type="expression" dxfId="984" priority="3886">
      <formula>$A24="PREVISTO"</formula>
    </cfRule>
  </conditionalFormatting>
  <conditionalFormatting sqref="K24">
    <cfRule type="expression" dxfId="983" priority="3885">
      <formula>$A24="REALIZADO"</formula>
    </cfRule>
  </conditionalFormatting>
  <conditionalFormatting sqref="K25">
    <cfRule type="expression" dxfId="982" priority="3882">
      <formula>$A25="PREVISTO"</formula>
    </cfRule>
  </conditionalFormatting>
  <conditionalFormatting sqref="K25">
    <cfRule type="expression" dxfId="981" priority="3881">
      <formula>$A25="REALIZADO"</formula>
    </cfRule>
  </conditionalFormatting>
  <conditionalFormatting sqref="L26">
    <cfRule type="expression" dxfId="980" priority="3880">
      <formula>$A26="PREVISTO"</formula>
    </cfRule>
  </conditionalFormatting>
  <conditionalFormatting sqref="L26">
    <cfRule type="expression" dxfId="979" priority="3879">
      <formula>$A26="REALIZADO"</formula>
    </cfRule>
  </conditionalFormatting>
  <conditionalFormatting sqref="K26">
    <cfRule type="expression" dxfId="978" priority="3878">
      <formula>$A26="PREVISTO"</formula>
    </cfRule>
  </conditionalFormatting>
  <conditionalFormatting sqref="K26">
    <cfRule type="expression" dxfId="977" priority="3877">
      <formula>$A26="REALIZADO"</formula>
    </cfRule>
  </conditionalFormatting>
  <conditionalFormatting sqref="K40">
    <cfRule type="expression" dxfId="976" priority="3812">
      <formula>$A40="PREVISTO"</formula>
    </cfRule>
  </conditionalFormatting>
  <conditionalFormatting sqref="K40">
    <cfRule type="expression" dxfId="975" priority="3811">
      <formula>$A40="REALIZADO"</formula>
    </cfRule>
  </conditionalFormatting>
  <conditionalFormatting sqref="N40">
    <cfRule type="expression" dxfId="974" priority="3810">
      <formula>$A40="PREVISTO"</formula>
    </cfRule>
  </conditionalFormatting>
  <conditionalFormatting sqref="N40">
    <cfRule type="expression" dxfId="973" priority="3809">
      <formula>$A40="REALIZADO"</formula>
    </cfRule>
  </conditionalFormatting>
  <conditionalFormatting sqref="M40">
    <cfRule type="expression" dxfId="972" priority="3808">
      <formula>$A40="PREVISTO"</formula>
    </cfRule>
  </conditionalFormatting>
  <conditionalFormatting sqref="M40">
    <cfRule type="expression" dxfId="971" priority="3807">
      <formula>$A40="REALIZADO"</formula>
    </cfRule>
  </conditionalFormatting>
  <conditionalFormatting sqref="I40">
    <cfRule type="expression" dxfId="970" priority="5110">
      <formula>$A40="PREVISTO"</formula>
    </cfRule>
  </conditionalFormatting>
  <conditionalFormatting sqref="I40">
    <cfRule type="expression" dxfId="969" priority="5111">
      <formula>$A40="REALIZADO"</formula>
    </cfRule>
  </conditionalFormatting>
  <conditionalFormatting sqref="J40 L40">
    <cfRule type="expression" dxfId="968" priority="5112">
      <formula>$A40="PREVISTO"</formula>
    </cfRule>
  </conditionalFormatting>
  <conditionalFormatting sqref="J40 L40">
    <cfRule type="expression" dxfId="967" priority="5113">
      <formula>$A40="REALIZADO"</formula>
    </cfRule>
  </conditionalFormatting>
  <conditionalFormatting sqref="K41">
    <cfRule type="expression" dxfId="966" priority="3802">
      <formula>$A41="PREVISTO"</formula>
    </cfRule>
  </conditionalFormatting>
  <conditionalFormatting sqref="K41">
    <cfRule type="expression" dxfId="965" priority="3801">
      <formula>$A41="REALIZADO"</formula>
    </cfRule>
  </conditionalFormatting>
  <conditionalFormatting sqref="N41">
    <cfRule type="expression" dxfId="964" priority="3800">
      <formula>$A41="PREVISTO"</formula>
    </cfRule>
  </conditionalFormatting>
  <conditionalFormatting sqref="N41">
    <cfRule type="expression" dxfId="963" priority="3799">
      <formula>$A41="REALIZADO"</formula>
    </cfRule>
  </conditionalFormatting>
  <conditionalFormatting sqref="M41">
    <cfRule type="expression" dxfId="962" priority="3798">
      <formula>$A41="PREVISTO"</formula>
    </cfRule>
  </conditionalFormatting>
  <conditionalFormatting sqref="M41">
    <cfRule type="expression" dxfId="961" priority="3797">
      <formula>$A41="REALIZADO"</formula>
    </cfRule>
  </conditionalFormatting>
  <conditionalFormatting sqref="I41">
    <cfRule type="expression" dxfId="960" priority="5114">
      <formula>$A41="PREVISTO"</formula>
    </cfRule>
  </conditionalFormatting>
  <conditionalFormatting sqref="I41">
    <cfRule type="expression" dxfId="959" priority="5115">
      <formula>$A41="REALIZADO"</formula>
    </cfRule>
  </conditionalFormatting>
  <conditionalFormatting sqref="J41 L41">
    <cfRule type="expression" dxfId="958" priority="5116">
      <formula>$A41="PREVISTO"</formula>
    </cfRule>
  </conditionalFormatting>
  <conditionalFormatting sqref="J41 L41">
    <cfRule type="expression" dxfId="957" priority="5117">
      <formula>$A41="REALIZADO"</formula>
    </cfRule>
  </conditionalFormatting>
  <conditionalFormatting sqref="M42:M43">
    <cfRule type="expression" dxfId="956" priority="3792">
      <formula>$A42="REALIZADO"</formula>
    </cfRule>
  </conditionalFormatting>
  <conditionalFormatting sqref="I42:I43">
    <cfRule type="expression" dxfId="955" priority="5118">
      <formula>$A42="PREVISTO"</formula>
    </cfRule>
  </conditionalFormatting>
  <conditionalFormatting sqref="I42:I43">
    <cfRule type="expression" dxfId="954" priority="3791">
      <formula>$A42="REALIZADO"</formula>
    </cfRule>
  </conditionalFormatting>
  <conditionalFormatting sqref="J42:J43 L42:L43">
    <cfRule type="expression" dxfId="953" priority="3790">
      <formula>$A42="PREVISTO"</formula>
    </cfRule>
  </conditionalFormatting>
  <conditionalFormatting sqref="J42:J43 L42:L43">
    <cfRule type="expression" dxfId="952" priority="3789">
      <formula>$A42="REALIZADO"</formula>
    </cfRule>
  </conditionalFormatting>
  <conditionalFormatting sqref="N42:N43">
    <cfRule type="expression" dxfId="951" priority="3788">
      <formula>$A42="PREVISTO"</formula>
    </cfRule>
  </conditionalFormatting>
  <conditionalFormatting sqref="N42:N43">
    <cfRule type="expression" dxfId="950" priority="3787">
      <formula>$A42="REALIZADO"</formula>
    </cfRule>
  </conditionalFormatting>
  <conditionalFormatting sqref="K42:K43">
    <cfRule type="expression" dxfId="949" priority="3786">
      <formula>$A42="PREVISTO"</formula>
    </cfRule>
  </conditionalFormatting>
  <conditionalFormatting sqref="K42:K43">
    <cfRule type="expression" dxfId="948" priority="3785">
      <formula>$A42="REALIZADO"</formula>
    </cfRule>
  </conditionalFormatting>
  <conditionalFormatting sqref="M42:M43">
    <cfRule type="expression" dxfId="947" priority="3784">
      <formula>$A42="PREVISTO"</formula>
    </cfRule>
  </conditionalFormatting>
  <conditionalFormatting sqref="M44">
    <cfRule type="expression" dxfId="946" priority="3782">
      <formula>$A44="REALIZADO"</formula>
    </cfRule>
  </conditionalFormatting>
  <conditionalFormatting sqref="I44">
    <cfRule type="expression" dxfId="945" priority="5119">
      <formula>$A44="PREVISTO"</formula>
    </cfRule>
  </conditionalFormatting>
  <conditionalFormatting sqref="I44">
    <cfRule type="expression" dxfId="944" priority="3781">
      <formula>$A44="REALIZADO"</formula>
    </cfRule>
  </conditionalFormatting>
  <conditionalFormatting sqref="J44 L44">
    <cfRule type="expression" dxfId="943" priority="3780">
      <formula>$A44="PREVISTO"</formula>
    </cfRule>
  </conditionalFormatting>
  <conditionalFormatting sqref="J44 L44">
    <cfRule type="expression" dxfId="942" priority="3779">
      <formula>$A44="REALIZADO"</formula>
    </cfRule>
  </conditionalFormatting>
  <conditionalFormatting sqref="N44">
    <cfRule type="expression" dxfId="941" priority="3778">
      <formula>$A44="PREVISTO"</formula>
    </cfRule>
  </conditionalFormatting>
  <conditionalFormatting sqref="N44">
    <cfRule type="expression" dxfId="940" priority="3777">
      <formula>$A44="REALIZADO"</formula>
    </cfRule>
  </conditionalFormatting>
  <conditionalFormatting sqref="K44">
    <cfRule type="expression" dxfId="939" priority="3776">
      <formula>$A44="PREVISTO"</formula>
    </cfRule>
  </conditionalFormatting>
  <conditionalFormatting sqref="K44">
    <cfRule type="expression" dxfId="938" priority="3775">
      <formula>$A44="REALIZADO"</formula>
    </cfRule>
  </conditionalFormatting>
  <conditionalFormatting sqref="M44">
    <cfRule type="expression" dxfId="937" priority="3774">
      <formula>$A44="PREVISTO"</formula>
    </cfRule>
  </conditionalFormatting>
  <conditionalFormatting sqref="S10 Y10 AW10 BC10 BI10 BO10 BU10 CA10">
    <cfRule type="expression" dxfId="936" priority="927">
      <formula>$A10="PREVISTO"</formula>
    </cfRule>
  </conditionalFormatting>
  <conditionalFormatting sqref="S10 Y10 AW10 BC10 BI10 BO10 BU10 CA10">
    <cfRule type="expression" dxfId="935" priority="926">
      <formula>$A10="REALIZADO"</formula>
    </cfRule>
  </conditionalFormatting>
  <conditionalFormatting sqref="S14:S15 Y14:Y15 AQ14:AQ15 AW14:AW15 BC14:BC15 BI14:BI15 BO14:BO15 BU14:BU15 CA14:CA15 CA21 BU21 BO21 BI21 BC21 AW21 AQ21 Y21 S21 CA17:CA18 BU17:BU18 BO17:BO18 BI17:BI18 BC17:BC18 AW17:AW18 AQ17:AQ18 Y17:Y18 S17:S18">
    <cfRule type="expression" dxfId="934" priority="915">
      <formula>$A14="PREVISTO"</formula>
    </cfRule>
  </conditionalFormatting>
  <conditionalFormatting sqref="S14:S15 Y14:Y15 AQ14:AQ15 AW14:AW15 BC14:BC15 BI14:BI15 BO14:BO15 BU14:BU15 CA14:CA15 CA21 BU21 BO21 BI21 BC21 AW21 AQ21 Y21 S21 CA17:CA18 BU17:BU18 BO17:BO18 BI17:BI18 BC17:BC18 AW17:AW18 AQ17:AQ18 Y17:Y18 S17:S18">
    <cfRule type="expression" dxfId="933" priority="914">
      <formula>$A14="REALIZADO"</formula>
    </cfRule>
  </conditionalFormatting>
  <conditionalFormatting sqref="T5 Z5 AF5 AR5 AX5 BD5 BJ5 BP5 BV5 CB5">
    <cfRule type="expression" dxfId="932" priority="969">
      <formula>$A5="PREVISTO"</formula>
    </cfRule>
  </conditionalFormatting>
  <conditionalFormatting sqref="T5 Z5 AF5 AR5 AX5 BD5 BJ5 BP5 BV5 CB5">
    <cfRule type="expression" dxfId="931" priority="968">
      <formula>$A5="REALIZADO"</formula>
    </cfRule>
  </conditionalFormatting>
  <conditionalFormatting sqref="P3 V3 AB3 AH3 AN3 AT3 AZ3 BF3 BL3 BR3 BX3 P13 V13 AB13 AH13 AN13 AT13 AZ13 BF13 BL13 BR13 BX13 R13 X13 AD13 AJ13 AP13 AV13 BB13 BH13 BN13 BT13 BZ13 R3 X3 AD3 AJ3 AP3 AV3 BB3 BH3 BN3 BT3 BZ3 T3 Z3 AF3 AR3 AX3 BD3 BJ3 BP3 BV3 CB3 T13 Z13 AF13 AR13 AX13 BD13 BJ13 BP13 BV13 CB13">
    <cfRule type="expression" dxfId="930" priority="982">
      <formula>$A3="PREVISTO"</formula>
    </cfRule>
  </conditionalFormatting>
  <conditionalFormatting sqref="P13 V13 AB13 AH13 AN13 AT13 AZ13 BF13 BL13 BR13 BX13 P3 V3 AB3 AH3 AN3 AT3 AZ3 BF3 BL3 BR3 BX3 R3 X3 AD3 AJ3 AP3 AV3 BB3 BH3 BN3 BT3 BZ3 R13 X13 AD13 AJ13 AP13 AV13 BB13 BH13 BN13 BT13 BZ13 T13 Z13 AF13 AR13 AX13 BD13 BJ13 BP13 BV13 CB13 T3 Z3 AF3 AR3 AX3 BD3 BJ3 BP3 BV3 CB3">
    <cfRule type="expression" dxfId="929" priority="981">
      <formula>$A3="REALIZADO"</formula>
    </cfRule>
  </conditionalFormatting>
  <conditionalFormatting sqref="O3:O4 U3:U4 AA3:AA4 AG3:AG4 AM3:AM4 AS3:AS4 AY3:AY4 BE3:BE4 BK3:BK4 BQ3:BQ4 BW3:BW4 T2 Z2 AF2 AL2 AR2 AX2 BD2 BJ2 BP2 BV2 CB2 O13 U13 AA13 AG13 AM13 AS13 AY13 BE13 BK13 BQ13 BW13 O6:O7 U6:U7 AA6:AA7 AG6:AG7 AM6:AM7 AS6:AS7 AY6:AY7 BE6:BE7 BK6:BK7 BQ6:BQ7 BW6:BW7">
    <cfRule type="expression" dxfId="928" priority="992">
      <formula>$A2="PREVISTO"</formula>
    </cfRule>
  </conditionalFormatting>
  <conditionalFormatting sqref="O2:P2 O13 U13 AA13 AG13 AM13 AS13 AY13 BE13 BK13 BQ13 BW13 O3:O4 U3:U4 AA3:AA4 AG3:AG4 AM3:AM4 AS3:AS4 AY3:AY4 BE3:BE4 BK3:BK4 BQ3:BQ4 BW3:BW4 O6:O7 U6:U7 AA6:AA7 AG6:AG7 AM6:AM7 AS6:AS7 AY6:AY7 BE6:BE7 BK6:BK7 BQ6:BQ7 BW6:BW7 T2:V2 Z2:AB2 AF2:AH2 AL2:AN2 AR2:AT2 AX2:AZ2 BD2:BF2 BJ2:BL2 BP2:BR2 BV2:BX2 CB2">
    <cfRule type="expression" dxfId="927" priority="991">
      <formula>$A2="REALIZADO"</formula>
    </cfRule>
  </conditionalFormatting>
  <conditionalFormatting sqref="O46:P47 U46:V47 AA46:AB47 AG46:AH47 AM46:AN47 AS46:AT47 AY46:AZ47 BE46:BF47 BK46:BL47 BQ46:BR47 BW46:BX47 O2:P2 U2:V2 AA2:AB2 AG2:AH2 AM2:AN2 AS2:AT2 AY2:AZ2 BE2:BF2 BK2:BL2 BQ2:BR2 BW2:BX2 R46:R47 X46:X47 AD46:AD47 AJ46:AJ47 AP46:AP47 AV46:AV47 BB46:BB47 BH46:BH47 BN46:BN47 BT46:BT47 BZ46:BZ47">
    <cfRule type="expression" dxfId="926" priority="990">
      <formula>$A2="PREVISTO"</formula>
    </cfRule>
  </conditionalFormatting>
  <conditionalFormatting sqref="O46:P47 U46:V47 AA46:AB47 AG46:AH47 AM46:AN47 AS46:AT47 AY46:AZ47 BE46:BF47 BK46:BL47 BQ46:BR47 BW46:BX47 R46:R47 X46:X47 AD46:AD47 AJ46:AJ47 AP46:AP47 AV46:AV47 BB46:BB47 BH46:BH47 BN46:BN47 BT46:BT47 BZ46:BZ47">
    <cfRule type="expression" dxfId="925" priority="989">
      <formula>$A46="REALIZADO"</formula>
    </cfRule>
  </conditionalFormatting>
  <conditionalFormatting sqref="O48:P51 U48:V51 AA48:AB51 AG48:AH51 AM48:AN51 AS48:AT51 AY48:AZ51 BE48:BF51 BK48:BL51 BQ48:BR51 BW48:BX51 R48:R51 X48:X51 AD48:AD51 AJ48:AJ51 AP48:AP51 AV48:AV51 BB48:BB51 BH48:BH51 BN48:BN51 BT48:BT51 BZ48:BZ51">
    <cfRule type="expression" dxfId="924" priority="985">
      <formula>$A48="REALIZADO"</formula>
    </cfRule>
    <cfRule type="expression" dxfId="923" priority="986">
      <formula>$A48="PREVISTO"</formula>
    </cfRule>
  </conditionalFormatting>
  <conditionalFormatting sqref="O1 U1 AA1 AG1 AM1 AS1 AY1 BE1 BK1 BQ1 BW1">
    <cfRule type="expression" dxfId="922" priority="987">
      <formula>$A1="REALIZADO"</formula>
    </cfRule>
    <cfRule type="expression" dxfId="921" priority="988">
      <formula>$A1="PREVISTO"</formula>
    </cfRule>
  </conditionalFormatting>
  <conditionalFormatting sqref="O39 U39 AA39 AG39 AM39 AS39 AY39 BE39 BK39 BQ39 BW39">
    <cfRule type="expression" dxfId="920" priority="984">
      <formula>$A39="PREVISTO"</formula>
    </cfRule>
  </conditionalFormatting>
  <conditionalFormatting sqref="O39 U39 AA39 AG39 AM39 AS39 AY39 BE39 BK39 BQ39 BW39">
    <cfRule type="expression" dxfId="919" priority="983">
      <formula>$A39="REALIZADO"</formula>
    </cfRule>
  </conditionalFormatting>
  <conditionalFormatting sqref="P39 V39 AB39 AH39 AN39 AT39 AZ39 BF39 BL39 BR39 BX39 R39 X39 AD39 AJ39 AP39 AV39 BB39 BH39 BN39 BT39 BZ39 T39 Z39 AF39 AL39 AR39 AX39 BD39 BJ39 BP39 BV39 CB39">
    <cfRule type="expression" dxfId="918" priority="980">
      <formula>$A39="REALIZADO"</formula>
    </cfRule>
  </conditionalFormatting>
  <conditionalFormatting sqref="P39 V39 AB39 AH39 AN39 AT39 AZ39 BF39 BL39 BR39 BX39 R39 X39 AD39 AJ39 AP39 AV39 BB39 BH39 BN39 BT39 BZ39">
    <cfRule type="expression" dxfId="917" priority="978">
      <formula>$A39="PREVISTO"</formula>
    </cfRule>
  </conditionalFormatting>
  <conditionalFormatting sqref="T39 Z39 AF39 AL39 AR39 AX39 BD39 BJ39 BP39 BV39 CB39">
    <cfRule type="expression" dxfId="916" priority="979">
      <formula>$A39="PREVISTO"</formula>
    </cfRule>
  </conditionalFormatting>
  <conditionalFormatting sqref="R4 X4 AD4 AJ4 AP4 AV4 BB4 BH4 BN4 BT4 BZ4 R6:R7 X6:X7 AD6:AD7 AJ6:AJ7 AP6:AP7 AV6:AV7 BB6:BB7 BH6:BH7 BN6:BN7 BT6:BT7 BZ6:BZ7 T7 Z7 AF7 AR7 AX7 BD7 BJ7 BP7 BV7 CB7 T4 Z4 AF4 AR4 AX4 BD4 BJ4 BP4 BV4 CB4">
    <cfRule type="expression" dxfId="915" priority="977">
      <formula>$A4="PREVISTO"</formula>
    </cfRule>
  </conditionalFormatting>
  <conditionalFormatting sqref="R4 X4 AD4 AJ4 AP4 AV4 BB4 BH4 BN4 BT4 BZ4 R6:R7 X6:X7 AD6:AD7 AJ6:AJ7 AP6:AP7 AV6:AV7 BB6:BB7 BH6:BH7 BN6:BN7 BT6:BT7 BZ6:BZ7 T7 Z7 AF7 AR7 AX7 BD7 BJ7 BP7 BV7 CB7 T4 Z4 AF4 AR4 AX4 BD4 BJ4 BP4 BV4 CB4">
    <cfRule type="expression" dxfId="914" priority="976">
      <formula>$A4="REALIZADO"</formula>
    </cfRule>
  </conditionalFormatting>
  <conditionalFormatting sqref="T6 Z6 AF6 AR6 AX6 BD6 BJ6 BP6 BV6 CB6">
    <cfRule type="expression" dxfId="913" priority="975">
      <formula>$A6="PREVISTO"</formula>
    </cfRule>
  </conditionalFormatting>
  <conditionalFormatting sqref="T6 Z6 AF6 AR6 AX6 BD6 BJ6 BP6 BV6 CB6">
    <cfRule type="expression" dxfId="912" priority="974">
      <formula>$A6="REALIZADO"</formula>
    </cfRule>
  </conditionalFormatting>
  <conditionalFormatting sqref="O5 U5 AA5 AG5 AM5 AS5 AY5 BE5 BK5 BQ5 BW5">
    <cfRule type="expression" dxfId="911" priority="973">
      <formula>$A5="PREVISTO"</formula>
    </cfRule>
  </conditionalFormatting>
  <conditionalFormatting sqref="O5 U5 AA5 AG5 AM5 AS5 AY5 BE5 BK5 BQ5 BW5">
    <cfRule type="expression" dxfId="910" priority="972">
      <formula>$A5="REALIZADO"</formula>
    </cfRule>
  </conditionalFormatting>
  <conditionalFormatting sqref="R5 X5 AD5 AJ5 AP5 AV5 BB5 BH5 BN5 BT5 BZ5">
    <cfRule type="expression" dxfId="909" priority="971">
      <formula>$A5="PREVISTO"</formula>
    </cfRule>
  </conditionalFormatting>
  <conditionalFormatting sqref="R5 X5 AD5 AJ5 AP5 AV5 BB5 BH5 BN5 BT5 BZ5">
    <cfRule type="expression" dxfId="908" priority="970">
      <formula>$A5="REALIZADO"</formula>
    </cfRule>
  </conditionalFormatting>
  <conditionalFormatting sqref="O10 U10 AA10 AG10 AM10 AS10 AY10 BE10 BK10 BQ10 BW10">
    <cfRule type="expression" dxfId="907" priority="967">
      <formula>$A10="PREVISTO"</formula>
    </cfRule>
  </conditionalFormatting>
  <conditionalFormatting sqref="O10 U10 AA10 AG10 AM10 AS10 AY10 BE10 BK10 BQ10 BW10">
    <cfRule type="expression" dxfId="906" priority="966">
      <formula>$A10="REALIZADO"</formula>
    </cfRule>
  </conditionalFormatting>
  <conditionalFormatting sqref="R10 X10 AD10 AJ10 AP10 AV10 BB10 BH10 BN10 BT10 BZ10 T10 Z10 AF10 AX10 BD10 BJ10 BP10 BV10 CB10">
    <cfRule type="expression" dxfId="905" priority="965">
      <formula>$A10="PREVISTO"</formula>
    </cfRule>
  </conditionalFormatting>
  <conditionalFormatting sqref="R10 X10 AD10 AJ10 AP10 AV10 BB10 BH10 BN10 BT10 BZ10 T10 Z10 AF10 AX10 BD10 BJ10 BP10 BV10 CB10">
    <cfRule type="expression" dxfId="904" priority="964">
      <formula>$A10="REALIZADO"</formula>
    </cfRule>
  </conditionalFormatting>
  <conditionalFormatting sqref="O8 U8 AA8 AG8 AM8 AS8 AY8 BE8 BK8 BQ8 BW8">
    <cfRule type="expression" dxfId="903" priority="963">
      <formula>$A8="PREVISTO"</formula>
    </cfRule>
  </conditionalFormatting>
  <conditionalFormatting sqref="O8 U8 AA8 AG8 AM8 AS8 AY8 BE8 BK8 BQ8 BW8">
    <cfRule type="expression" dxfId="902" priority="962">
      <formula>$A8="REALIZADO"</formula>
    </cfRule>
  </conditionalFormatting>
  <conditionalFormatting sqref="R8 X8 AD8 AJ8 AP8 AV8 BB8 BH8 BN8 BT8 BZ8">
    <cfRule type="expression" dxfId="901" priority="961">
      <formula>$A8="PREVISTO"</formula>
    </cfRule>
  </conditionalFormatting>
  <conditionalFormatting sqref="R8 X8 AD8 AJ8 AP8 AV8 BB8 BH8 BN8 BT8 BZ8">
    <cfRule type="expression" dxfId="900" priority="960">
      <formula>$A8="REALIZADO"</formula>
    </cfRule>
  </conditionalFormatting>
  <conditionalFormatting sqref="T8 Z8 AF8 AR8 AX8 BD8 BJ8 BP8 BV8 CB8">
    <cfRule type="expression" dxfId="899" priority="959">
      <formula>$A8="PREVISTO"</formula>
    </cfRule>
  </conditionalFormatting>
  <conditionalFormatting sqref="T8 Z8 AF8 AR8 AX8 BD8 BJ8 BP8 BV8 CB8">
    <cfRule type="expression" dxfId="898" priority="958">
      <formula>$A8="REALIZADO"</formula>
    </cfRule>
  </conditionalFormatting>
  <conditionalFormatting sqref="P4 V4 AB4 AH4 AN4 AT4 AZ4 BF4 BL4 BR4 BX4">
    <cfRule type="expression" dxfId="897" priority="940">
      <formula>$A4="REALIZADO"</formula>
    </cfRule>
  </conditionalFormatting>
  <conditionalFormatting sqref="Q3:Q4 W3:W4 AC3:AC4 AI3:AI4 AO3:AO4 AU3:AU4 BA3:BA4 BG3:BG4 BM3:BM4 BS3:BS4 BY3:BY4 Q13 W13 AC13 AI13 AO13 AU13 BA13 BG13 BM13 BS13 BY13 Q6:Q7 W6:W7 AC6:AC7 AI6:AI7 AO6:AO7 AU6:AU7 BA6:BA7 BG6:BG7 BM6:BM7 BS6:BS7 BY6:BY7">
    <cfRule type="expression" dxfId="896" priority="957">
      <formula>$A3="PREVISTO"</formula>
    </cfRule>
  </conditionalFormatting>
  <conditionalFormatting sqref="Q13 W13 AC13 AI13 AO13 AU13 BA13 BG13 BM13 BS13 BY13 Q3:Q4 W3:W4 AC3:AC4 AI3:AI4 AO3:AO4 AU3:AU4 BA3:BA4 BG3:BG4 BM3:BM4 BS3:BS4 BY3:BY4 Q6:Q7 W6:W7 AC6:AC7 AI6:AI7 AO6:AO7 AU6:AU7 BA6:BA7 BG6:BG7 BM6:BM7 BS6:BS7 BY6:BY7">
    <cfRule type="expression" dxfId="895" priority="956">
      <formula>$A3="REALIZADO"</formula>
    </cfRule>
  </conditionalFormatting>
  <conditionalFormatting sqref="Q46:Q47 W46:W47 AC46:AC47 AI46:AI47 AO46:AO47 AU46:AU47 BA46:BA47 BG46:BG47 BM46:BM47 BS46:BS47 BY46:BY47">
    <cfRule type="expression" dxfId="894" priority="955">
      <formula>$A46="PREVISTO"</formula>
    </cfRule>
  </conditionalFormatting>
  <conditionalFormatting sqref="Q46:Q47 W46:W47 AC46:AC47 AI46:AI47 AO46:AO47 AU46:AU47 BA46:BA47 BG46:BG47 BM46:BM47 BS46:BS47 BY46:BY47">
    <cfRule type="expression" dxfId="893" priority="954">
      <formula>$A46="REALIZADO"</formula>
    </cfRule>
  </conditionalFormatting>
  <conditionalFormatting sqref="Q48:Q51 W48:W51 AC48:AC51 AI48:AI51 AO48:AO51 AU48:AU51 BA48:BA51 BG48:BG51 BM48:BM51 BS48:BS51 BY48:BY51">
    <cfRule type="expression" dxfId="892" priority="950">
      <formula>$A48="REALIZADO"</formula>
    </cfRule>
    <cfRule type="expression" dxfId="891" priority="951">
      <formula>$A48="PREVISTO"</formula>
    </cfRule>
  </conditionalFormatting>
  <conditionalFormatting sqref="Q1 W1 AC1 AI1 AO1 AU1 BA1 BG1 BM1 BS1 BY1">
    <cfRule type="expression" dxfId="890" priority="952">
      <formula>$A1="REALIZADO"</formula>
    </cfRule>
    <cfRule type="expression" dxfId="889" priority="953">
      <formula>$A1="PREVISTO"</formula>
    </cfRule>
  </conditionalFormatting>
  <conditionalFormatting sqref="Q39 W39 AC39 AI39 AO39 AU39 BA39 BG39 BM39 BS39 BY39">
    <cfRule type="expression" dxfId="888" priority="949">
      <formula>$A39="PREVISTO"</formula>
    </cfRule>
  </conditionalFormatting>
  <conditionalFormatting sqref="Q39 W39 AC39 AI39 AO39 AU39 BA39 BG39 BM39 BS39 BY39">
    <cfRule type="expression" dxfId="887" priority="948">
      <formula>$A39="REALIZADO"</formula>
    </cfRule>
  </conditionalFormatting>
  <conditionalFormatting sqref="Q5 W5 AC5 AI5 AO5 AU5 BA5 BG5 BM5 BS5 BY5">
    <cfRule type="expression" dxfId="886" priority="947">
      <formula>$A5="PREVISTO"</formula>
    </cfRule>
  </conditionalFormatting>
  <conditionalFormatting sqref="Q5 W5 AC5 AI5 AO5 AU5 BA5 BG5 BM5 BS5 BY5">
    <cfRule type="expression" dxfId="885" priority="946">
      <formula>$A5="REALIZADO"</formula>
    </cfRule>
  </conditionalFormatting>
  <conditionalFormatting sqref="Q10 W10 AC10 AI10 AO10 AU10 BA10 BG10 BM10 BS10 BY10">
    <cfRule type="expression" dxfId="884" priority="945">
      <formula>$A10="PREVISTO"</formula>
    </cfRule>
  </conditionalFormatting>
  <conditionalFormatting sqref="Q10 W10 AC10 AI10 AO10 AU10 BA10 BG10 BM10 BS10 BY10">
    <cfRule type="expression" dxfId="883" priority="944">
      <formula>$A10="REALIZADO"</formula>
    </cfRule>
  </conditionalFormatting>
  <conditionalFormatting sqref="Q8 W8 AC8 AI8 AO8 AU8 BA8 BG8 BM8 BS8 BY8">
    <cfRule type="expression" dxfId="882" priority="943">
      <formula>$A8="PREVISTO"</formula>
    </cfRule>
  </conditionalFormatting>
  <conditionalFormatting sqref="Q8 W8 AC8 AI8 AO8 AU8 BA8 BG8 BM8 BS8 BY8">
    <cfRule type="expression" dxfId="881" priority="942">
      <formula>$A8="REALIZADO"</formula>
    </cfRule>
  </conditionalFormatting>
  <conditionalFormatting sqref="S46:S47 Y46:Y47 AE46:AE47 AK46:AK47 AQ46:AQ47 AW46:AW47 BC46:BC47 BI46:BI47 BO46:BO47 BU46:BU47 CA46:CA47 S2 Y2 AE2 AK2 AQ2 AW2 BC2 BI2 BO2 BU2 CA2">
    <cfRule type="expression" dxfId="880" priority="937">
      <formula>$A2="PREVISTO"</formula>
    </cfRule>
  </conditionalFormatting>
  <conditionalFormatting sqref="S46:S47 Y46:Y47 AE46:AE47 AK46:AK47 AQ46:AQ47 AW46:AW47 BC46:BC47 BI46:BI47 BO46:BO47 BU46:BU47 CA46:CA47">
    <cfRule type="expression" dxfId="879" priority="936">
      <formula>$A46="REALIZADO"</formula>
    </cfRule>
  </conditionalFormatting>
  <conditionalFormatting sqref="P4 V4 AB4 AH4 AN4 AT4 AZ4 BF4 BL4 BR4 BX4">
    <cfRule type="expression" dxfId="878" priority="941">
      <formula>$A4="PREVISTO"</formula>
    </cfRule>
  </conditionalFormatting>
  <conditionalFormatting sqref="S3:S4 Y3:Y4 AE3 AQ3:AQ4 AW3:AW4 BC3:BC4 BI3:BI4 BO3:BO4 BU3:BU4 CA3:CA4 S13 Y13 AE13 AQ13 AW13 BC13 BI13 BO13 BU13 CA13 S6:S7 Y6:Y7 AQ6:AQ7 AW6:AW7 BC6:BC7 BI6:BI7 BO6:BO7 BU6:BU7 CA6:CA7">
    <cfRule type="expression" dxfId="877" priority="939">
      <formula>$A3="PREVISTO"</formula>
    </cfRule>
  </conditionalFormatting>
  <conditionalFormatting sqref="S13 Y13 AE13 AQ13 AW13 BC13 BI13 BO13 BU13 CA13 S2:S4 Y2:Y4 AE2:AE3 AK2 AQ2:AQ4 AW2:AW4 BC2:BC4 BI2:BI4 BO2:BO4 BU2:BU4 CA2:CA4 S6:S7 Y6:Y7 AQ6:AQ7 AW6:AW7 BC6:BC7 BI6:BI7 BO6:BO7 BU6:BU7 CA6:CA7">
    <cfRule type="expression" dxfId="876" priority="938">
      <formula>$A2="REALIZADO"</formula>
    </cfRule>
  </conditionalFormatting>
  <conditionalFormatting sqref="S48:S51 Y48:Y51 AE48:AE51 AK48:AK51 AQ48:AQ51 AW48:AW51 BC48:BC51 BI48:BI51 BO48:BO51 BU48:BU51 CA48:CA51">
    <cfRule type="expression" dxfId="875" priority="932">
      <formula>$A48="REALIZADO"</formula>
    </cfRule>
    <cfRule type="expression" dxfId="874" priority="933">
      <formula>$A48="PREVISTO"</formula>
    </cfRule>
  </conditionalFormatting>
  <conditionalFormatting sqref="S1 Y1 AE1 AK1 AQ1 AW1 BC1 BI1 BO1 BU1 CA1">
    <cfRule type="expression" dxfId="873" priority="934">
      <formula>$A1="REALIZADO"</formula>
    </cfRule>
    <cfRule type="expression" dxfId="872" priority="935">
      <formula>$A1="PREVISTO"</formula>
    </cfRule>
  </conditionalFormatting>
  <conditionalFormatting sqref="S39 Y39 AE39 AK39 AQ39 AW39 BC39 BI39 BO39 BU39 CA39">
    <cfRule type="expression" dxfId="871" priority="931">
      <formula>$A39="PREVISTO"</formula>
    </cfRule>
  </conditionalFormatting>
  <conditionalFormatting sqref="S39 Y39 AE39 AK39 AQ39 AW39 BC39 BI39 BO39 BU39 CA39">
    <cfRule type="expression" dxfId="870" priority="930">
      <formula>$A39="REALIZADO"</formula>
    </cfRule>
  </conditionalFormatting>
  <conditionalFormatting sqref="Q14 W14 AC14 AI14 AO14 AU14 BA14 BG14 BM14 BS14 BY14">
    <cfRule type="expression" dxfId="869" priority="917">
      <formula>$A14="PREVISTO"</formula>
    </cfRule>
  </conditionalFormatting>
  <conditionalFormatting sqref="Q14 W14 AC14 AI14 AO14 AU14 BA14 BG14 BM14 BS14 BY14">
    <cfRule type="expression" dxfId="868" priority="916">
      <formula>$A14="REALIZADO"</formula>
    </cfRule>
  </conditionalFormatting>
  <conditionalFormatting sqref="S5 Y5 AQ5 AW5 BC5 BI5 BO5 BU5 CA5">
    <cfRule type="expression" dxfId="867" priority="929">
      <formula>$A5="PREVISTO"</formula>
    </cfRule>
  </conditionalFormatting>
  <conditionalFormatting sqref="S5 Y5 AQ5 AW5 BC5 BI5 BO5 BU5 CA5">
    <cfRule type="expression" dxfId="866" priority="928">
      <formula>$A5="REALIZADO"</formula>
    </cfRule>
  </conditionalFormatting>
  <conditionalFormatting sqref="S8 Y8 AQ8 AW8 BC8 BI8 BO8 BU8 CA8">
    <cfRule type="expression" dxfId="865" priority="925">
      <formula>$A8="PREVISTO"</formula>
    </cfRule>
  </conditionalFormatting>
  <conditionalFormatting sqref="S8 Y8 AQ8 AW8 BC8 BI8 BO8 BU8 CA8">
    <cfRule type="expression" dxfId="864" priority="924">
      <formula>$A8="REALIZADO"</formula>
    </cfRule>
  </conditionalFormatting>
  <conditionalFormatting sqref="T14:T15 Z14:Z15 AF14:AF15 AR14:AR15 AX14:AX15 BD14:BD15 BJ14:BJ15 BP14:BP15 BV14:BV15 CB14:CB15 CB21 BV21 BP21 BJ21 BD21 AX21 AR21 AF21 Z21 T21 CB17:CB18 BV17:BV18 BP17:BP18 BJ17:BJ18 BD17:BD18 AX17:AX18 AR17:AR18 AF17:AF18 Z17:Z18 T17:T18">
    <cfRule type="expression" dxfId="863" priority="919">
      <formula>$A14="PREVISTO"</formula>
    </cfRule>
  </conditionalFormatting>
  <conditionalFormatting sqref="T14:T15 Z14:Z15 AF14:AF15 AR14:AR15 AX14:AX15 BD14:BD15 BJ14:BJ15 BP14:BP15 BV14:BV15 CB14:CB15 CB21 BV21 BP21 BJ21 BD21 AX21 AR21 AF21 Z21 T21 CB17:CB18 BV17:BV18 BP17:BP18 BJ17:BJ18 BD17:BD18 AX17:AX18 AR17:AR18 AF17:AF18 Z17:Z18 T17:T18">
    <cfRule type="expression" dxfId="862" priority="918">
      <formula>$A14="REALIZADO"</formula>
    </cfRule>
  </conditionalFormatting>
  <conditionalFormatting sqref="O14:O15 U14:U15 AA14:AA15 AG14:AG15 AM14:AM15 AS14:AS15 AY14:AY15 BE14:BE15 BK14:BK15 BQ14:BQ15 BW14:BW15 BW21 BQ21 BK21 BE21 AY21 AS21 AM21 AG21 O21 BW17:BW18 BQ17:BQ18 BK17:BK18 BE17:BE18 AY17:AY18 AS17:AS18 AM17:AM18 AG17:AG18 O17:O18">
    <cfRule type="expression" dxfId="861" priority="923">
      <formula>$A14="PREVISTO"</formula>
    </cfRule>
  </conditionalFormatting>
  <conditionalFormatting sqref="O14:O15 U14:U15 AA14:AA15 AG14:AG15 AM14:AM15 AS14:AS15 AY14:AY15 BE14:BE15 BK14:BK15 BQ14:BQ15 BW14:BW15 BW21 BQ21 BK21 BE21 AY21 AS21 AM21 AG21 O21 BW17:BW18 BQ17:BQ18 BK17:BK18 BE17:BE18 AY17:AY18 AS17:AS18 AM17:AM18 AG17:AG18 O17:O18">
    <cfRule type="expression" dxfId="860" priority="922">
      <formula>$A14="REALIZADO"</formula>
    </cfRule>
  </conditionalFormatting>
  <conditionalFormatting sqref="P14:P15 V14:V15 AB14:AB15 AH14:AH15 AN14:AN15 AT14:AT15 AZ14:AZ15 BF14:BF15 BL14:BL15 BR14:BR15 BX14:BX15 R14 X14 AD14 AJ14 AP14 AV14 BB14 BH14 BN14 BT14 BZ14 BX21 BR21 BL21 BF21 AZ21 AT21 AN21 AH21 AB21 V21 P21 BX17:BX18 BR17:BR18 BL17:BL18 BF17:BF18 AZ17:AZ18 AT17:AT18 AN17:AN18 AH17:AH18 AB17:AB18 V17:V18 P17:P18">
    <cfRule type="expression" dxfId="859" priority="921">
      <formula>$A14="PREVISTO"</formula>
    </cfRule>
  </conditionalFormatting>
  <conditionalFormatting sqref="P14:P15 V14:V15 AB14:AB15 AH14:AH15 AN14:AN15 AT14:AT15 AZ14:AZ15 BF14:BF15 BL14:BL15 BR14:BR15 BX14:BX15 R14 X14 AD14 AJ14 AP14 AV14 BB14 BH14 BN14 BT14 BZ14 BX21 BR21 BL21 BF21 AZ21 AT21 AN21 AH21 AB21 V21 P21 BX17:BX18 BR17:BR18 BL17:BL18 BF17:BF18 AZ17:AZ18 AT17:AT18 AN17:AN18 AH17:AH18 AB17:AB18 V17:V18 P17:P18">
    <cfRule type="expression" dxfId="858" priority="920">
      <formula>$A14="REALIZADO"</formula>
    </cfRule>
  </conditionalFormatting>
  <conditionalFormatting sqref="R2 X2 AD2 AJ2 AP2 AV2 BB2 BH2 BN2 BT2 BZ2">
    <cfRule type="expression" dxfId="857" priority="905">
      <formula>$A2="REALIZADO"</formula>
    </cfRule>
  </conditionalFormatting>
  <conditionalFormatting sqref="R2 X2 AD2 AJ2 AP2 AV2 BB2 BH2 BN2 BT2 BZ2">
    <cfRule type="expression" dxfId="856" priority="904">
      <formula>$A2="PREVISTO"</formula>
    </cfRule>
  </conditionalFormatting>
  <conditionalFormatting sqref="Q2 W2 AC2 AI2 AO2 AU2 BA2 BG2 BM2 BS2 BY2">
    <cfRule type="expression" dxfId="855" priority="903">
      <formula>$A2="REALIZADO"</formula>
    </cfRule>
  </conditionalFormatting>
  <conditionalFormatting sqref="Q2 W2 AC2 AI2 AO2 AU2 BA2 BG2 BM2 BS2 BY2">
    <cfRule type="expression" dxfId="854" priority="902">
      <formula>$A2="PREVISTO"</formula>
    </cfRule>
  </conditionalFormatting>
  <conditionalFormatting sqref="P5:P8 V5:V8 AB5:AB8 AH5:AH8 AN5:AN8 AT5:AT8 AZ5:AZ8 BF5:BF8 BL5:BL8 BR5:BR8 BX5:BX8">
    <cfRule type="expression" dxfId="853" priority="900">
      <formula>$A5="REALIZADO"</formula>
    </cfRule>
  </conditionalFormatting>
  <conditionalFormatting sqref="P5:P8 V5:V8 AB5:AB8 AH5:AH8 AN5:AN8 AT5:AT8 AZ5:AZ8 BF5:BF8 BL5:BL8 BR5:BR8 BX5:BX8">
    <cfRule type="expression" dxfId="852" priority="901">
      <formula>$A5="PREVISTO"</formula>
    </cfRule>
  </conditionalFormatting>
  <conditionalFormatting sqref="P10 V10 AB10 AH10 AN10 AT10 AZ10 BF10 BL10 BR10 BX10">
    <cfRule type="expression" dxfId="851" priority="899">
      <formula>$A10="PREVISTO"</formula>
    </cfRule>
  </conditionalFormatting>
  <conditionalFormatting sqref="P10 V10 AB10 AH10 AN10 AT10 AZ10 BF10 BL10 BR10 BX10">
    <cfRule type="expression" dxfId="850" priority="898">
      <formula>$A10="REALIZADO"</formula>
    </cfRule>
  </conditionalFormatting>
  <conditionalFormatting sqref="O45 U45 AA45 AG45 AM45 AS45 AY45 BE45 BK45 BQ45 BW45">
    <cfRule type="expression" dxfId="849" priority="896">
      <formula>$A45="REALIZADO"</formula>
    </cfRule>
    <cfRule type="expression" dxfId="848" priority="897">
      <formula>$A45="PREVISTO"</formula>
    </cfRule>
  </conditionalFormatting>
  <conditionalFormatting sqref="Q45 W45 AC45 AI45 AO45 AU45 BA45 BG45 BM45 BS45 BY45">
    <cfRule type="expression" dxfId="847" priority="894">
      <formula>$A45="REALIZADO"</formula>
    </cfRule>
    <cfRule type="expression" dxfId="846" priority="895">
      <formula>$A45="PREVISTO"</formula>
    </cfRule>
  </conditionalFormatting>
  <conditionalFormatting sqref="S45 Y45 AE45 AK45 AQ45 AW45 BC45 BI45 BO45 BU45 CA45">
    <cfRule type="expression" dxfId="845" priority="892">
      <formula>$A45="REALIZADO"</formula>
    </cfRule>
    <cfRule type="expression" dxfId="844" priority="893">
      <formula>$A45="PREVISTO"</formula>
    </cfRule>
  </conditionalFormatting>
  <conditionalFormatting sqref="Q17 W17 AC17 AI17 AO17 AU17 BA17 BG17 BM17 BS17 BY17">
    <cfRule type="expression" dxfId="843" priority="877">
      <formula>$A17="PREVISTO"</formula>
    </cfRule>
  </conditionalFormatting>
  <conditionalFormatting sqref="Q17 W17 AC17 AI17 AO17 AU17 BA17 BG17 BM17 BS17 BY17">
    <cfRule type="expression" dxfId="842" priority="876">
      <formula>$A17="REALIZADO"</formula>
    </cfRule>
  </conditionalFormatting>
  <conditionalFormatting sqref="R17 X17 AD17 AJ17 AP17 AV17 BB17 BH17 BN17 BT17 BZ17">
    <cfRule type="expression" dxfId="841" priority="879">
      <formula>$A17="PREVISTO"</formula>
    </cfRule>
  </conditionalFormatting>
  <conditionalFormatting sqref="R17 X17 AD17 AJ17 AP17 AV17 BB17 BH17 BN17 BT17 BZ17">
    <cfRule type="expression" dxfId="840" priority="878">
      <formula>$A17="REALIZADO"</formula>
    </cfRule>
  </conditionalFormatting>
  <conditionalFormatting sqref="Q15 W15 AC15 AI15 AO15 AU15 BA15 BG15 BM15 BS15 BY15">
    <cfRule type="expression" dxfId="839" priority="873">
      <formula>$A15="PREVISTO"</formula>
    </cfRule>
  </conditionalFormatting>
  <conditionalFormatting sqref="Q15 W15 AC15 AI15 AO15 AU15 BA15 BG15 BM15 BS15 BY15">
    <cfRule type="expression" dxfId="838" priority="872">
      <formula>$A15="REALIZADO"</formula>
    </cfRule>
  </conditionalFormatting>
  <conditionalFormatting sqref="R15 X15 AD15 AJ15 AP15 AV15 BB15 BH15 BN15 BT15 BZ15">
    <cfRule type="expression" dxfId="837" priority="875">
      <formula>$A15="PREVISTO"</formula>
    </cfRule>
  </conditionalFormatting>
  <conditionalFormatting sqref="R15 X15 AD15 AJ15 AP15 AV15 BB15 BH15 BN15 BT15 BZ15">
    <cfRule type="expression" dxfId="836" priority="874">
      <formula>$A15="REALIZADO"</formula>
    </cfRule>
  </conditionalFormatting>
  <conditionalFormatting sqref="Q18 W18 AC18 AI18 AO18 AU18 BA18 BG18 BM18 BS18 BY18">
    <cfRule type="expression" dxfId="835" priority="869">
      <formula>$A18="PREVISTO"</formula>
    </cfRule>
  </conditionalFormatting>
  <conditionalFormatting sqref="Q18 W18 AC18 AI18 AO18 AU18 BA18 BG18 BM18 BS18 BY18">
    <cfRule type="expression" dxfId="834" priority="868">
      <formula>$A18="REALIZADO"</formula>
    </cfRule>
  </conditionalFormatting>
  <conditionalFormatting sqref="R18 X18 AD18 AJ18 AP18 AV18 BB18 BH18 BN18 BT18 BZ18">
    <cfRule type="expression" dxfId="833" priority="871">
      <formula>$A18="PREVISTO"</formula>
    </cfRule>
  </conditionalFormatting>
  <conditionalFormatting sqref="R18 X18 AD18 AJ18 AP18 AV18 BB18 BH18 BN18 BT18 BZ18">
    <cfRule type="expression" dxfId="832" priority="870">
      <formula>$A18="REALIZADO"</formula>
    </cfRule>
  </conditionalFormatting>
  <conditionalFormatting sqref="Q21 W21 AC21 AI21 AO21 AU21 BA21 BG21 BM21 BS21 BY21">
    <cfRule type="expression" dxfId="831" priority="861">
      <formula>$A21="PREVISTO"</formula>
    </cfRule>
  </conditionalFormatting>
  <conditionalFormatting sqref="Q21 W21 AC21 AI21 AO21 AU21 BA21 BG21 BM21 BS21 BY21">
    <cfRule type="expression" dxfId="830" priority="860">
      <formula>$A21="REALIZADO"</formula>
    </cfRule>
  </conditionalFormatting>
  <conditionalFormatting sqref="R21 X21 AD21 AJ21 AP21 AV21 BB21 BH21 BN21 BT21 BZ21">
    <cfRule type="expression" dxfId="829" priority="863">
      <formula>$A21="PREVISTO"</formula>
    </cfRule>
  </conditionalFormatting>
  <conditionalFormatting sqref="R21 X21 AD21 AJ21 AP21 AV21 BB21 BH21 BN21 BT21 BZ21">
    <cfRule type="expression" dxfId="828" priority="862">
      <formula>$A21="REALIZADO"</formula>
    </cfRule>
  </conditionalFormatting>
  <conditionalFormatting sqref="R25 X25 AD25 AJ25 AP25 AV25 BB25 BH25 BN25 BT25 BZ25">
    <cfRule type="expression" dxfId="827" priority="851">
      <formula>$A25="PREVISTO"</formula>
    </cfRule>
  </conditionalFormatting>
  <conditionalFormatting sqref="R25 X25 AD25 AJ25 AP25 AV25 BB25 BH25 BN25 BT25 BZ25">
    <cfRule type="expression" dxfId="826" priority="850">
      <formula>$A25="REALIZADO"</formula>
    </cfRule>
  </conditionalFormatting>
  <conditionalFormatting sqref="R24 X24 AD24 AJ24 AP24 AV24 BB24 BH24 BN24 BT24 BZ24">
    <cfRule type="expression" dxfId="825" priority="855">
      <formula>$A24="PREVISTO"</formula>
    </cfRule>
  </conditionalFormatting>
  <conditionalFormatting sqref="R24 X24 AD24 AJ24 AP24 AV24 BB24 BH24 BN24 BT24 BZ24">
    <cfRule type="expression" dxfId="824" priority="854">
      <formula>$A24="REALIZADO"</formula>
    </cfRule>
  </conditionalFormatting>
  <conditionalFormatting sqref="Q24 W24 AC24 AI24 AO24 AU24 BA24 BG24 BM24 BS24 BY24">
    <cfRule type="expression" dxfId="823" priority="853">
      <formula>$A24="PREVISTO"</formula>
    </cfRule>
  </conditionalFormatting>
  <conditionalFormatting sqref="Q24 W24 AC24 AI24 AO24 AU24 BA24 BG24 BM24 BS24 BY24">
    <cfRule type="expression" dxfId="822" priority="852">
      <formula>$A24="REALIZADO"</formula>
    </cfRule>
  </conditionalFormatting>
  <conditionalFormatting sqref="Q25 W25 AC25 AI25 AO25 AU25 BA25 BG25 BM25 BS25 BY25">
    <cfRule type="expression" dxfId="821" priority="849">
      <formula>$A25="PREVISTO"</formula>
    </cfRule>
  </conditionalFormatting>
  <conditionalFormatting sqref="Q25 W25 AC25 AI25 AO25 AU25 BA25 BG25 BM25 BS25 BY25">
    <cfRule type="expression" dxfId="820" priority="848">
      <formula>$A25="REALIZADO"</formula>
    </cfRule>
  </conditionalFormatting>
  <conditionalFormatting sqref="R26 X26 AD26 AJ26 AP26 AV26 BB26 BH26 BN26 BT26 BZ26">
    <cfRule type="expression" dxfId="819" priority="847">
      <formula>$A26="PREVISTO"</formula>
    </cfRule>
  </conditionalFormatting>
  <conditionalFormatting sqref="R26 X26 AD26 AJ26 AP26 AV26 BB26 BH26 BN26 BT26 BZ26">
    <cfRule type="expression" dxfId="818" priority="846">
      <formula>$A26="REALIZADO"</formula>
    </cfRule>
  </conditionalFormatting>
  <conditionalFormatting sqref="Q26 W26 AC26 AI26 AO26 AU26 BA26 BG26 BM26 BS26 BY26">
    <cfRule type="expression" dxfId="817" priority="845">
      <formula>$A26="PREVISTO"</formula>
    </cfRule>
  </conditionalFormatting>
  <conditionalFormatting sqref="Q26 W26 AC26 AI26 AO26 AU26 BA26 BG26 BM26 BS26 BY26">
    <cfRule type="expression" dxfId="816" priority="844">
      <formula>$A26="REALIZADO"</formula>
    </cfRule>
  </conditionalFormatting>
  <conditionalFormatting sqref="Q40 W40 AC40 AI40 AO40 AU40 BA40 BG40 BM40 BS40 BY40">
    <cfRule type="expression" dxfId="815" priority="830">
      <formula>$A40="PREVISTO"</formula>
    </cfRule>
  </conditionalFormatting>
  <conditionalFormatting sqref="Q40 W40 AC40 AI40 AO40 AU40 BA40 BG40 BM40 BS40 BY40">
    <cfRule type="expression" dxfId="814" priority="829">
      <formula>$A40="REALIZADO"</formula>
    </cfRule>
  </conditionalFormatting>
  <conditionalFormatting sqref="T40 Z40 AF40 AL40 AR40 AX40 BD40 BJ40 BP40 BV40 CB40">
    <cfRule type="expression" dxfId="813" priority="828">
      <formula>$A40="PREVISTO"</formula>
    </cfRule>
  </conditionalFormatting>
  <conditionalFormatting sqref="T40 Z40 AF40 AL40 AR40 AX40 BD40 BJ40 BP40 BV40 CB40">
    <cfRule type="expression" dxfId="812" priority="827">
      <formula>$A40="REALIZADO"</formula>
    </cfRule>
  </conditionalFormatting>
  <conditionalFormatting sqref="S40 Y40 AE40 AK40 AQ40 AW40 BC40 BI40 BO40 BU40 CA40">
    <cfRule type="expression" dxfId="811" priority="826">
      <formula>$A40="PREVISTO"</formula>
    </cfRule>
  </conditionalFormatting>
  <conditionalFormatting sqref="S40 Y40 AE40 AK40 AQ40 AW40 BC40 BI40 BO40 BU40 CA40">
    <cfRule type="expression" dxfId="810" priority="825">
      <formula>$A40="REALIZADO"</formula>
    </cfRule>
  </conditionalFormatting>
  <conditionalFormatting sqref="O40 U40 AA40 AG40 AM40 AS40 AY40 BE40 BK40 BQ40 BW40">
    <cfRule type="expression" dxfId="809" priority="994">
      <formula>$A40="PREVISTO"</formula>
    </cfRule>
  </conditionalFormatting>
  <conditionalFormatting sqref="O40 U40 AA40 AG40 AM40 AS40 AY40 BE40 BK40 BQ40 BW40">
    <cfRule type="expression" dxfId="808" priority="995">
      <formula>$A40="REALIZADO"</formula>
    </cfRule>
  </conditionalFormatting>
  <conditionalFormatting sqref="P40 V40 AB40 AH40 AN40 AT40 AZ40 BF40 BL40 BR40 BX40 R40 X40 AD40 AJ40 AP40 AV40 BB40 BH40 BN40 BT40 BZ40">
    <cfRule type="expression" dxfId="807" priority="996">
      <formula>$A40="PREVISTO"</formula>
    </cfRule>
  </conditionalFormatting>
  <conditionalFormatting sqref="P40 V40 AB40 AH40 AN40 AT40 AZ40 BF40 BL40 BR40 BX40 R40 X40 AD40 AJ40 AP40 AV40 BB40 BH40 BN40 BT40 BZ40">
    <cfRule type="expression" dxfId="806" priority="997">
      <formula>$A40="REALIZADO"</formula>
    </cfRule>
  </conditionalFormatting>
  <conditionalFormatting sqref="Q41 W41 AC41 AI41 AO41 AU41 BA41 BG41 BM41 BS41 BY41">
    <cfRule type="expression" dxfId="805" priority="824">
      <formula>$A41="PREVISTO"</formula>
    </cfRule>
  </conditionalFormatting>
  <conditionalFormatting sqref="Q41 W41 AC41 AI41 AO41 AU41 BA41 BG41 BM41 BS41 BY41">
    <cfRule type="expression" dxfId="804" priority="823">
      <formula>$A41="REALIZADO"</formula>
    </cfRule>
  </conditionalFormatting>
  <conditionalFormatting sqref="T41 Z41 AF41 AL41 AR41 AX41 BD41 BJ41 BP41 BV41 CB41">
    <cfRule type="expression" dxfId="803" priority="822">
      <formula>$A41="PREVISTO"</formula>
    </cfRule>
  </conditionalFormatting>
  <conditionalFormatting sqref="T41 Z41 AF41 AL41 AR41 AX41 BD41 BJ41 BP41 BV41 CB41">
    <cfRule type="expression" dxfId="802" priority="821">
      <formula>$A41="REALIZADO"</formula>
    </cfRule>
  </conditionalFormatting>
  <conditionalFormatting sqref="S41 Y41 AE41 AK41 AQ41 AW41 BC41 BI41 BO41 BU41 CA41">
    <cfRule type="expression" dxfId="801" priority="820">
      <formula>$A41="PREVISTO"</formula>
    </cfRule>
  </conditionalFormatting>
  <conditionalFormatting sqref="S41 Y41 AE41 AK41 AQ41 AW41 BC41 BI41 BO41 BU41 CA41">
    <cfRule type="expression" dxfId="800" priority="819">
      <formula>$A41="REALIZADO"</formula>
    </cfRule>
  </conditionalFormatting>
  <conditionalFormatting sqref="O41 U41 AA41 AG41 AM41 AS41 AY41 BE41 BK41 BQ41 BW41">
    <cfRule type="expression" dxfId="799" priority="998">
      <formula>$A41="PREVISTO"</formula>
    </cfRule>
  </conditionalFormatting>
  <conditionalFormatting sqref="O41 U41 AA41 AG41 AM41 AS41 AY41 BE41 BK41 BQ41 BW41">
    <cfRule type="expression" dxfId="798" priority="999">
      <formula>$A41="REALIZADO"</formula>
    </cfRule>
  </conditionalFormatting>
  <conditionalFormatting sqref="P41 V41 AB41 AH41 AN41 AT41 AZ41 BF41 BL41 BR41 BX41 R41 X41 AD41 AJ41 AP41 AV41 BB41 BH41 BN41 BT41 BZ41">
    <cfRule type="expression" dxfId="797" priority="1000">
      <formula>$A41="PREVISTO"</formula>
    </cfRule>
  </conditionalFormatting>
  <conditionalFormatting sqref="P41 V41 AB41 AH41 AN41 AT41 AZ41 BF41 BL41 BR41 BX41 R41 X41 AD41 AJ41 AP41 AV41 BB41 BH41 BN41 BT41 BZ41">
    <cfRule type="expression" dxfId="796" priority="1001">
      <formula>$A41="REALIZADO"</formula>
    </cfRule>
  </conditionalFormatting>
  <conditionalFormatting sqref="S42:S43 Y42:Y43 AE42:AE43 AK42:AK43 AQ42:AQ43 AW42:AW43 BC42:BC43 BI42:BI43 BO42:BO43 BU42:BU43 CA42:CA43">
    <cfRule type="expression" dxfId="795" priority="818">
      <formula>$A42="REALIZADO"</formula>
    </cfRule>
  </conditionalFormatting>
  <conditionalFormatting sqref="O42:O43 U42:U43 AA42:AA43 AG42:AG43 AM42:AM43 AS42:AS43 AY42:AY43 BE42:BE43 BK42:BK43 BQ42:BQ43 BW42:BW43">
    <cfRule type="expression" dxfId="794" priority="1002">
      <formula>$A42="PREVISTO"</formula>
    </cfRule>
  </conditionalFormatting>
  <conditionalFormatting sqref="O42:O43 U42:U43 AA42:AA43 AG42:AG43 AM42:AM43 AS42:AS43 AY42:AY43 BE42:BE43 BK42:BK43 BQ42:BQ43 BW42:BW43">
    <cfRule type="expression" dxfId="793" priority="817">
      <formula>$A42="REALIZADO"</formula>
    </cfRule>
  </conditionalFormatting>
  <conditionalFormatting sqref="P42:P43 V42:V43 AB42:AB43 AH42:AH43 AN42:AN43 AT42:AT43 AZ42:AZ43 BF42:BF43 BL42:BL43 BR42:BR43 BX42:BX43 R42:R43 X42:X43 AD42:AD43 AJ42:AJ43 AP42:AP43 AV42:AV43 BB42:BB43 BH42:BH43 BN42:BN43 BT42:BT43 BZ42:BZ43">
    <cfRule type="expression" dxfId="792" priority="816">
      <formula>$A42="PREVISTO"</formula>
    </cfRule>
  </conditionalFormatting>
  <conditionalFormatting sqref="P42:P43 V42:V43 AB42:AB43 AH42:AH43 AN42:AN43 AT42:AT43 AZ42:AZ43 BF42:BF43 BL42:BL43 BR42:BR43 BX42:BX43 R42:R43 X42:X43 AD42:AD43 AJ42:AJ43 AP42:AP43 AV42:AV43 BB42:BB43 BH42:BH43 BN42:BN43 BT42:BT43 BZ42:BZ43">
    <cfRule type="expression" dxfId="791" priority="815">
      <formula>$A42="REALIZADO"</formula>
    </cfRule>
  </conditionalFormatting>
  <conditionalFormatting sqref="T42:T43 Z42:Z43 AF42:AF43 AL42:AL43 AR42:AR43 AX42:AX43 BD42:BD43 BJ42:BJ43 BP42:BP43 BV42:BV43 CB42:CB43">
    <cfRule type="expression" dxfId="790" priority="814">
      <formula>$A42="PREVISTO"</formula>
    </cfRule>
  </conditionalFormatting>
  <conditionalFormatting sqref="T42:T43 Z42:Z43 AF42:AF43 AL42:AL43 AR42:AR43 AX42:AX43 BD42:BD43 BJ42:BJ43 BP42:BP43 BV42:BV43 CB42:CB43">
    <cfRule type="expression" dxfId="789" priority="813">
      <formula>$A42="REALIZADO"</formula>
    </cfRule>
  </conditionalFormatting>
  <conditionalFormatting sqref="Q42:Q43 W42:W43 AC42:AC43 AI42:AI43 AO42:AO43 AU42:AU43 BA42:BA43 BG42:BG43 BM42:BM43 BS42:BS43 BY42:BY43">
    <cfRule type="expression" dxfId="788" priority="812">
      <formula>$A42="PREVISTO"</formula>
    </cfRule>
  </conditionalFormatting>
  <conditionalFormatting sqref="Q42:Q43 W42:W43 AC42:AC43 AI42:AI43 AO42:AO43 AU42:AU43 BA42:BA43 BG42:BG43 BM42:BM43 BS42:BS43 BY42:BY43">
    <cfRule type="expression" dxfId="787" priority="811">
      <formula>$A42="REALIZADO"</formula>
    </cfRule>
  </conditionalFormatting>
  <conditionalFormatting sqref="S42:S43 Y42:Y43 AE42:AE43 AK42:AK43 AQ42:AQ43 AW42:AW43 BC42:BC43 BI42:BI43 BO42:BO43 BU42:BU43 CA42:CA43">
    <cfRule type="expression" dxfId="786" priority="810">
      <formula>$A42="PREVISTO"</formula>
    </cfRule>
  </conditionalFormatting>
  <conditionalFormatting sqref="S44 Y44 AE44 AK44 AQ44 AW44 BC44 BI44 BO44 BU44 CA44">
    <cfRule type="expression" dxfId="785" priority="809">
      <formula>$A44="REALIZADO"</formula>
    </cfRule>
  </conditionalFormatting>
  <conditionalFormatting sqref="O44 U44 AA44 AG44 AM44 AS44 AY44 BE44 BK44 BQ44 BW44">
    <cfRule type="expression" dxfId="784" priority="1003">
      <formula>$A44="PREVISTO"</formula>
    </cfRule>
  </conditionalFormatting>
  <conditionalFormatting sqref="O44 U44 AA44 AG44 AM44 AS44 AY44 BE44 BK44 BQ44 BW44">
    <cfRule type="expression" dxfId="783" priority="808">
      <formula>$A44="REALIZADO"</formula>
    </cfRule>
  </conditionalFormatting>
  <conditionalFormatting sqref="P44 V44 AB44 AH44 AN44 AT44 AZ44 BF44 BL44 BR44 BX44 R44 X44 AD44 AJ44 AP44 AV44 BB44 BH44 BN44 BT44 BZ44">
    <cfRule type="expression" dxfId="782" priority="807">
      <formula>$A44="PREVISTO"</formula>
    </cfRule>
  </conditionalFormatting>
  <conditionalFormatting sqref="P44 V44 AB44 AH44 AN44 AT44 AZ44 BF44 BL44 BR44 BX44 R44 X44 AD44 AJ44 AP44 AV44 BB44 BH44 BN44 BT44 BZ44">
    <cfRule type="expression" dxfId="781" priority="806">
      <formula>$A44="REALIZADO"</formula>
    </cfRule>
  </conditionalFormatting>
  <conditionalFormatting sqref="T44 Z44 AF44 AL44 AR44 AX44 BD44 BJ44 BP44 BV44 CB44">
    <cfRule type="expression" dxfId="780" priority="805">
      <formula>$A44="PREVISTO"</formula>
    </cfRule>
  </conditionalFormatting>
  <conditionalFormatting sqref="T44 Z44 AF44 AL44 AR44 AX44 BD44 BJ44 BP44 BV44 CB44">
    <cfRule type="expression" dxfId="779" priority="804">
      <formula>$A44="REALIZADO"</formula>
    </cfRule>
  </conditionalFormatting>
  <conditionalFormatting sqref="Q44 W44 AC44 AI44 AO44 AU44 BA44 BG44 BM44 BS44 BY44">
    <cfRule type="expression" dxfId="778" priority="803">
      <formula>$A44="PREVISTO"</formula>
    </cfRule>
  </conditionalFormatting>
  <conditionalFormatting sqref="Q44 W44 AC44 AI44 AO44 AU44 BA44 BG44 BM44 BS44 BY44">
    <cfRule type="expression" dxfId="777" priority="802">
      <formula>$A44="REALIZADO"</formula>
    </cfRule>
  </conditionalFormatting>
  <conditionalFormatting sqref="S44 Y44 AE44 AK44 AQ44 AW44 BC44 BI44 BO44 BU44 CA44">
    <cfRule type="expression" dxfId="776" priority="801">
      <formula>$A44="PREVISTO"</formula>
    </cfRule>
  </conditionalFormatting>
  <conditionalFormatting sqref="F44 F41:F42">
    <cfRule type="expression" dxfId="775" priority="761">
      <formula>$A41="PREVISTO"</formula>
    </cfRule>
  </conditionalFormatting>
  <conditionalFormatting sqref="F44 F41:F42">
    <cfRule type="expression" dxfId="774" priority="760">
      <formula>$A41="REALIZADO"</formula>
    </cfRule>
  </conditionalFormatting>
  <conditionalFormatting sqref="F43">
    <cfRule type="expression" dxfId="773" priority="759">
      <formula>$A43="PREVISTO"</formula>
    </cfRule>
  </conditionalFormatting>
  <conditionalFormatting sqref="F43">
    <cfRule type="expression" dxfId="772" priority="758">
      <formula>$A43="REALIZADO"</formula>
    </cfRule>
  </conditionalFormatting>
  <conditionalFormatting sqref="A19:F19">
    <cfRule type="expression" dxfId="771" priority="757">
      <formula>$A19="PREVISTO"</formula>
    </cfRule>
  </conditionalFormatting>
  <conditionalFormatting sqref="A19:F19">
    <cfRule type="expression" dxfId="770" priority="756">
      <formula>$A19="REALIZADO"</formula>
    </cfRule>
  </conditionalFormatting>
  <conditionalFormatting sqref="G19:H19">
    <cfRule type="expression" dxfId="769" priority="755">
      <formula>$A19="PREVISTO"</formula>
    </cfRule>
  </conditionalFormatting>
  <conditionalFormatting sqref="G19:H19">
    <cfRule type="expression" dxfId="768" priority="754">
      <formula>$A19="REALIZADO"</formula>
    </cfRule>
  </conditionalFormatting>
  <conditionalFormatting sqref="M19">
    <cfRule type="expression" dxfId="767" priority="747">
      <formula>$A19="PREVISTO"</formula>
    </cfRule>
  </conditionalFormatting>
  <conditionalFormatting sqref="M19">
    <cfRule type="expression" dxfId="766" priority="746">
      <formula>$A19="REALIZADO"</formula>
    </cfRule>
  </conditionalFormatting>
  <conditionalFormatting sqref="N19">
    <cfRule type="expression" dxfId="765" priority="749">
      <formula>$A19="PREVISTO"</formula>
    </cfRule>
  </conditionalFormatting>
  <conditionalFormatting sqref="N19">
    <cfRule type="expression" dxfId="764" priority="748">
      <formula>$A19="REALIZADO"</formula>
    </cfRule>
  </conditionalFormatting>
  <conditionalFormatting sqref="I19">
    <cfRule type="expression" dxfId="763" priority="753">
      <formula>$A19="PREVISTO"</formula>
    </cfRule>
  </conditionalFormatting>
  <conditionalFormatting sqref="I19">
    <cfRule type="expression" dxfId="762" priority="752">
      <formula>$A19="REALIZADO"</formula>
    </cfRule>
  </conditionalFormatting>
  <conditionalFormatting sqref="J19">
    <cfRule type="expression" dxfId="761" priority="751">
      <formula>$A19="PREVISTO"</formula>
    </cfRule>
  </conditionalFormatting>
  <conditionalFormatting sqref="J19">
    <cfRule type="expression" dxfId="760" priority="750">
      <formula>$A19="REALIZADO"</formula>
    </cfRule>
  </conditionalFormatting>
  <conditionalFormatting sqref="K19">
    <cfRule type="expression" dxfId="759" priority="743">
      <formula>$A19="PREVISTO"</formula>
    </cfRule>
  </conditionalFormatting>
  <conditionalFormatting sqref="K19">
    <cfRule type="expression" dxfId="758" priority="742">
      <formula>$A19="REALIZADO"</formula>
    </cfRule>
  </conditionalFormatting>
  <conditionalFormatting sqref="L19">
    <cfRule type="expression" dxfId="757" priority="745">
      <formula>$A19="PREVISTO"</formula>
    </cfRule>
  </conditionalFormatting>
  <conditionalFormatting sqref="L19">
    <cfRule type="expression" dxfId="756" priority="744">
      <formula>$A19="REALIZADO"</formula>
    </cfRule>
  </conditionalFormatting>
  <conditionalFormatting sqref="S19 Y19 AQ19 AW19 BC19 BI19 BO19 BU19 CA19">
    <cfRule type="expression" dxfId="755" priority="735">
      <formula>$A19="PREVISTO"</formula>
    </cfRule>
  </conditionalFormatting>
  <conditionalFormatting sqref="S19 Y19 AQ19 AW19 BC19 BI19 BO19 BU19 CA19">
    <cfRule type="expression" dxfId="754" priority="734">
      <formula>$A19="REALIZADO"</formula>
    </cfRule>
  </conditionalFormatting>
  <conditionalFormatting sqref="T19 Z19 AF19 AR19 AX19 BD19 BJ19 BP19 BV19 CB19">
    <cfRule type="expression" dxfId="753" priority="737">
      <formula>$A19="PREVISTO"</formula>
    </cfRule>
  </conditionalFormatting>
  <conditionalFormatting sqref="T19 Z19 AF19 AR19 AX19 BD19 BJ19 BP19 BV19 CB19">
    <cfRule type="expression" dxfId="752" priority="736">
      <formula>$A19="REALIZADO"</formula>
    </cfRule>
  </conditionalFormatting>
  <conditionalFormatting sqref="O19 U19 AA19 AG19 AM19 AS19 AY19 BE19 BK19 BQ19 BW19">
    <cfRule type="expression" dxfId="751" priority="741">
      <formula>$A19="PREVISTO"</formula>
    </cfRule>
  </conditionalFormatting>
  <conditionalFormatting sqref="O19 U19 AA19 AG19 AM19 AS19 AY19 BE19 BK19 BQ19 BW19">
    <cfRule type="expression" dxfId="750" priority="740">
      <formula>$A19="REALIZADO"</formula>
    </cfRule>
  </conditionalFormatting>
  <conditionalFormatting sqref="P19 V19 AB19 AH19 AN19 AT19 AZ19 BF19 BL19 BR19 BX19">
    <cfRule type="expression" dxfId="749" priority="739">
      <formula>$A19="PREVISTO"</formula>
    </cfRule>
  </conditionalFormatting>
  <conditionalFormatting sqref="P19 V19 AB19 AH19 AN19 AT19 AZ19 BF19 BL19 BR19 BX19">
    <cfRule type="expression" dxfId="748" priority="738">
      <formula>$A19="REALIZADO"</formula>
    </cfRule>
  </conditionalFormatting>
  <conditionalFormatting sqref="Q19 W19 AC19 AI19 AO19 AU19 BA19 BG19 BM19 BS19 BY19">
    <cfRule type="expression" dxfId="747" priority="731">
      <formula>$A19="PREVISTO"</formula>
    </cfRule>
  </conditionalFormatting>
  <conditionalFormatting sqref="Q19 W19 AC19 AI19 AO19 AU19 BA19 BG19 BM19 BS19 BY19">
    <cfRule type="expression" dxfId="746" priority="730">
      <formula>$A19="REALIZADO"</formula>
    </cfRule>
  </conditionalFormatting>
  <conditionalFormatting sqref="R19 X19 AD19 AJ19 AP19 AV19 BB19 BH19 BN19 BT19 BZ19">
    <cfRule type="expression" dxfId="745" priority="733">
      <formula>$A19="PREVISTO"</formula>
    </cfRule>
  </conditionalFormatting>
  <conditionalFormatting sqref="R19 X19 AD19 AJ19 AP19 AV19 BB19 BH19 BN19 BT19 BZ19">
    <cfRule type="expression" dxfId="744" priority="732">
      <formula>$A19="REALIZADO"</formula>
    </cfRule>
  </conditionalFormatting>
  <conditionalFormatting sqref="A23:F23">
    <cfRule type="expression" dxfId="743" priority="729">
      <formula>$A23="PREVISTO"</formula>
    </cfRule>
  </conditionalFormatting>
  <conditionalFormatting sqref="A23:F23">
    <cfRule type="expression" dxfId="742" priority="728">
      <formula>$A23="REALIZADO"</formula>
    </cfRule>
  </conditionalFormatting>
  <conditionalFormatting sqref="G23:H23">
    <cfRule type="expression" dxfId="741" priority="727">
      <formula>$A23="PREVISTO"</formula>
    </cfRule>
  </conditionalFormatting>
  <conditionalFormatting sqref="G23:H23">
    <cfRule type="expression" dxfId="740" priority="726">
      <formula>$A23="REALIZADO"</formula>
    </cfRule>
  </conditionalFormatting>
  <conditionalFormatting sqref="M23">
    <cfRule type="expression" dxfId="739" priority="719">
      <formula>$A23="PREVISTO"</formula>
    </cfRule>
  </conditionalFormatting>
  <conditionalFormatting sqref="M23">
    <cfRule type="expression" dxfId="738" priority="718">
      <formula>$A23="REALIZADO"</formula>
    </cfRule>
  </conditionalFormatting>
  <conditionalFormatting sqref="N23">
    <cfRule type="expression" dxfId="737" priority="721">
      <formula>$A23="PREVISTO"</formula>
    </cfRule>
  </conditionalFormatting>
  <conditionalFormatting sqref="N23">
    <cfRule type="expression" dxfId="736" priority="720">
      <formula>$A23="REALIZADO"</formula>
    </cfRule>
  </conditionalFormatting>
  <conditionalFormatting sqref="I23">
    <cfRule type="expression" dxfId="735" priority="725">
      <formula>$A23="PREVISTO"</formula>
    </cfRule>
  </conditionalFormatting>
  <conditionalFormatting sqref="I23">
    <cfRule type="expression" dxfId="734" priority="724">
      <formula>$A23="REALIZADO"</formula>
    </cfRule>
  </conditionalFormatting>
  <conditionalFormatting sqref="J23">
    <cfRule type="expression" dxfId="733" priority="723">
      <formula>$A23="PREVISTO"</formula>
    </cfRule>
  </conditionalFormatting>
  <conditionalFormatting sqref="J23">
    <cfRule type="expression" dxfId="732" priority="722">
      <formula>$A23="REALIZADO"</formula>
    </cfRule>
  </conditionalFormatting>
  <conditionalFormatting sqref="K23">
    <cfRule type="expression" dxfId="731" priority="715">
      <formula>$A23="PREVISTO"</formula>
    </cfRule>
  </conditionalFormatting>
  <conditionalFormatting sqref="K23">
    <cfRule type="expression" dxfId="730" priority="714">
      <formula>$A23="REALIZADO"</formula>
    </cfRule>
  </conditionalFormatting>
  <conditionalFormatting sqref="L23">
    <cfRule type="expression" dxfId="729" priority="717">
      <formula>$A23="PREVISTO"</formula>
    </cfRule>
  </conditionalFormatting>
  <conditionalFormatting sqref="L23">
    <cfRule type="expression" dxfId="728" priority="716">
      <formula>$A23="REALIZADO"</formula>
    </cfRule>
  </conditionalFormatting>
  <conditionalFormatting sqref="S23 Y23 AQ23 AW23 BC23 BI23 BO23 BU23 CA23">
    <cfRule type="expression" dxfId="727" priority="707">
      <formula>$A23="PREVISTO"</formula>
    </cfRule>
  </conditionalFormatting>
  <conditionalFormatting sqref="S23 Y23 AQ23 AW23 BC23 BI23 BO23 BU23 CA23">
    <cfRule type="expression" dxfId="726" priority="706">
      <formula>$A23="REALIZADO"</formula>
    </cfRule>
  </conditionalFormatting>
  <conditionalFormatting sqref="T23 Z23 AF23 AR23 AX23 BD23 BJ23 BP23 BV23 CB23">
    <cfRule type="expression" dxfId="725" priority="709">
      <formula>$A23="PREVISTO"</formula>
    </cfRule>
  </conditionalFormatting>
  <conditionalFormatting sqref="T23 Z23 AF23 AR23 AX23 BD23 BJ23 BP23 BV23 CB23">
    <cfRule type="expression" dxfId="724" priority="708">
      <formula>$A23="REALIZADO"</formula>
    </cfRule>
  </conditionalFormatting>
  <conditionalFormatting sqref="O23 U23 AA23 AG23 AM23 AS23 AY23 BE23 BK23 BQ23 BW23">
    <cfRule type="expression" dxfId="723" priority="713">
      <formula>$A23="PREVISTO"</formula>
    </cfRule>
  </conditionalFormatting>
  <conditionalFormatting sqref="O23 U23 AA23 AG23 AM23 AS23 AY23 BE23 BK23 BQ23 BW23">
    <cfRule type="expression" dxfId="722" priority="712">
      <formula>$A23="REALIZADO"</formula>
    </cfRule>
  </conditionalFormatting>
  <conditionalFormatting sqref="P23 V23 AB23 AH23 AN23 AT23 AZ23 BF23 BL23 BR23 BX23">
    <cfRule type="expression" dxfId="721" priority="711">
      <formula>$A23="PREVISTO"</formula>
    </cfRule>
  </conditionalFormatting>
  <conditionalFormatting sqref="P23 V23 AB23 AH23 AN23 AT23 AZ23 BF23 BL23 BR23 BX23">
    <cfRule type="expression" dxfId="720" priority="710">
      <formula>$A23="REALIZADO"</formula>
    </cfRule>
  </conditionalFormatting>
  <conditionalFormatting sqref="Q23 W23 AC23 AI23 AO23 AU23 BA23 BG23 BM23 BS23 BY23">
    <cfRule type="expression" dxfId="719" priority="703">
      <formula>$A23="PREVISTO"</formula>
    </cfRule>
  </conditionalFormatting>
  <conditionalFormatting sqref="Q23 W23 AC23 AI23 AO23 AU23 BA23 BG23 BM23 BS23 BY23">
    <cfRule type="expression" dxfId="718" priority="702">
      <formula>$A23="REALIZADO"</formula>
    </cfRule>
  </conditionalFormatting>
  <conditionalFormatting sqref="R23 X23 AD23 AJ23 AP23 AV23 BB23 BH23 BN23 BT23 BZ23">
    <cfRule type="expression" dxfId="717" priority="705">
      <formula>$A23="PREVISTO"</formula>
    </cfRule>
  </conditionalFormatting>
  <conditionalFormatting sqref="R23 X23 AD23 AJ23 AP23 AV23 BB23 BH23 BN23 BT23 BZ23">
    <cfRule type="expression" dxfId="716" priority="704">
      <formula>$A23="REALIZADO"</formula>
    </cfRule>
  </conditionalFormatting>
  <conditionalFormatting sqref="I27:J27 M27:P27 S27:V27 Y27:Z27 AF27:AH27 AQ27:AT27 AW27:AZ27 BC27:BF27 BI27:BL27 BO27:BR27 BU27:BX27 CA27:CB27 AB27 AM27:AN27">
    <cfRule type="expression" dxfId="715" priority="701">
      <formula>$A27="PREVISTO"</formula>
    </cfRule>
  </conditionalFormatting>
  <conditionalFormatting sqref="I27:J27 M27:P27 S27:V27 Y27:Z27 AF27:AH27 AQ27:AT27 AW27:AZ27 BC27:BF27 BI27:BL27 BO27:BR27 BU27:BX27 CA27:CB27 AB27 AM27:AN27">
    <cfRule type="expression" dxfId="714" priority="700">
      <formula>$A27="REALIZADO"</formula>
    </cfRule>
  </conditionalFormatting>
  <conditionalFormatting sqref="L27">
    <cfRule type="expression" dxfId="713" priority="693">
      <formula>$A27="REALIZADO"</formula>
    </cfRule>
  </conditionalFormatting>
  <conditionalFormatting sqref="K27">
    <cfRule type="expression" dxfId="712" priority="692">
      <formula>$A27="PREVISTO"</formula>
    </cfRule>
  </conditionalFormatting>
  <conditionalFormatting sqref="K27">
    <cfRule type="expression" dxfId="711" priority="691">
      <formula>$A27="REALIZADO"</formula>
    </cfRule>
  </conditionalFormatting>
  <conditionalFormatting sqref="L27">
    <cfRule type="expression" dxfId="710" priority="694">
      <formula>$A27="PREVISTO"</formula>
    </cfRule>
  </conditionalFormatting>
  <conditionalFormatting sqref="R27 X27 AD27 AJ27 AP27 AV27 BB27 BH27 BN27 BT27 BZ27">
    <cfRule type="expression" dxfId="709" priority="690">
      <formula>$A27="PREVISTO"</formula>
    </cfRule>
  </conditionalFormatting>
  <conditionalFormatting sqref="R27 X27 AD27 AJ27 AP27 AV27 BB27 BH27 BN27 BT27 BZ27">
    <cfRule type="expression" dxfId="708" priority="689">
      <formula>$A27="REALIZADO"</formula>
    </cfRule>
  </conditionalFormatting>
  <conditionalFormatting sqref="Q27 W27 AC27 AI27 AO27 AU27 BA27 BG27 BM27 BS27 BY27">
    <cfRule type="expression" dxfId="707" priority="688">
      <formula>$A27="PREVISTO"</formula>
    </cfRule>
  </conditionalFormatting>
  <conditionalFormatting sqref="Q27 W27 AC27 AI27 AO27 AU27 BA27 BG27 BM27 BS27 BY27">
    <cfRule type="expression" dxfId="706" priority="687">
      <formula>$A27="REALIZADO"</formula>
    </cfRule>
  </conditionalFormatting>
  <conditionalFormatting sqref="E9:H9">
    <cfRule type="expression" dxfId="705" priority="658">
      <formula>$A9="PREVISTO"</formula>
    </cfRule>
  </conditionalFormatting>
  <conditionalFormatting sqref="E9:H9">
    <cfRule type="expression" dxfId="704" priority="657">
      <formula>$A9="REALIZADO"</formula>
    </cfRule>
  </conditionalFormatting>
  <conditionalFormatting sqref="A9:D9">
    <cfRule type="expression" dxfId="703" priority="656">
      <formula>$A9="PREVISTO"</formula>
    </cfRule>
  </conditionalFormatting>
  <conditionalFormatting sqref="A9:D9">
    <cfRule type="expression" dxfId="702" priority="655">
      <formula>$A9="REALIZADO"</formula>
    </cfRule>
  </conditionalFormatting>
  <conditionalFormatting sqref="I9">
    <cfRule type="expression" dxfId="701" priority="654">
      <formula>$A9="PREVISTO"</formula>
    </cfRule>
  </conditionalFormatting>
  <conditionalFormatting sqref="I9">
    <cfRule type="expression" dxfId="700" priority="653">
      <formula>$A9="REALIZADO"</formula>
    </cfRule>
  </conditionalFormatting>
  <conditionalFormatting sqref="L9 N9">
    <cfRule type="expression" dxfId="699" priority="652">
      <formula>$A9="PREVISTO"</formula>
    </cfRule>
  </conditionalFormatting>
  <conditionalFormatting sqref="L9 N9">
    <cfRule type="expression" dxfId="698" priority="651">
      <formula>$A9="REALIZADO"</formula>
    </cfRule>
  </conditionalFormatting>
  <conditionalFormatting sqref="K9">
    <cfRule type="expression" dxfId="697" priority="650">
      <formula>$A9="PREVISTO"</formula>
    </cfRule>
  </conditionalFormatting>
  <conditionalFormatting sqref="K9">
    <cfRule type="expression" dxfId="696" priority="649">
      <formula>$A9="REALIZADO"</formula>
    </cfRule>
  </conditionalFormatting>
  <conditionalFormatting sqref="M9">
    <cfRule type="expression" dxfId="695" priority="648">
      <formula>$A9="PREVISTO"</formula>
    </cfRule>
  </conditionalFormatting>
  <conditionalFormatting sqref="M9">
    <cfRule type="expression" dxfId="694" priority="647">
      <formula>$A9="REALIZADO"</formula>
    </cfRule>
  </conditionalFormatting>
  <conditionalFormatting sqref="J9">
    <cfRule type="expression" dxfId="693" priority="645">
      <formula>$A9="REALIZADO"</formula>
    </cfRule>
  </conditionalFormatting>
  <conditionalFormatting sqref="J9">
    <cfRule type="expression" dxfId="692" priority="646">
      <formula>$A9="PREVISTO"</formula>
    </cfRule>
  </conditionalFormatting>
  <conditionalFormatting sqref="O9 U9 AA9 AG9 AM9 AS9 AY9 BE9 BK9 BQ9 BW9">
    <cfRule type="expression" dxfId="691" priority="644">
      <formula>$A9="PREVISTO"</formula>
    </cfRule>
  </conditionalFormatting>
  <conditionalFormatting sqref="O9 U9 AA9 AG9 AM9 AS9 AY9 BE9 BK9 BQ9 BW9">
    <cfRule type="expression" dxfId="690" priority="643">
      <formula>$A9="REALIZADO"</formula>
    </cfRule>
  </conditionalFormatting>
  <conditionalFormatting sqref="R9 X9 AD9 AJ9 AP9 AV9 BB9 BH9 BN9 BT9 BZ9 T9 Z9 AF9 AR9 AX9 BD9 BJ9 BP9 BV9 CB9">
    <cfRule type="expression" dxfId="689" priority="642">
      <formula>$A9="PREVISTO"</formula>
    </cfRule>
  </conditionalFormatting>
  <conditionalFormatting sqref="R9 X9 AD9 AJ9 AP9 AV9 BB9 BH9 BN9 BT9 BZ9 T9 Z9 AF9 AR9 AX9 BD9 BJ9 BP9 BV9 CB9">
    <cfRule type="expression" dxfId="688" priority="641">
      <formula>$A9="REALIZADO"</formula>
    </cfRule>
  </conditionalFormatting>
  <conditionalFormatting sqref="Q9 W9 AC9 AI9 AO9 AU9 BA9 BG9 BM9 BS9 BY9">
    <cfRule type="expression" dxfId="687" priority="640">
      <formula>$A9="PREVISTO"</formula>
    </cfRule>
  </conditionalFormatting>
  <conditionalFormatting sqref="Q9 W9 AC9 AI9 AO9 AU9 BA9 BG9 BM9 BS9 BY9">
    <cfRule type="expression" dxfId="686" priority="639">
      <formula>$A9="REALIZADO"</formula>
    </cfRule>
  </conditionalFormatting>
  <conditionalFormatting sqref="S9 Y9 AQ9 AW9 BC9 BI9 BO9 BU9 CA9">
    <cfRule type="expression" dxfId="685" priority="638">
      <formula>$A9="PREVISTO"</formula>
    </cfRule>
  </conditionalFormatting>
  <conditionalFormatting sqref="S9 Y9 AQ9 AW9 BC9 BI9 BO9 BU9 CA9">
    <cfRule type="expression" dxfId="684" priority="637">
      <formula>$A9="REALIZADO"</formula>
    </cfRule>
  </conditionalFormatting>
  <conditionalFormatting sqref="P9 V9 AB9 AH9 AN9 AT9 AZ9 BF9 BL9 BR9 BX9">
    <cfRule type="expression" dxfId="683" priority="635">
      <formula>$A9="REALIZADO"</formula>
    </cfRule>
  </conditionalFormatting>
  <conditionalFormatting sqref="P9 V9 AB9 AH9 AN9 AT9 AZ9 BF9 BL9 BR9 BX9">
    <cfRule type="expression" dxfId="682" priority="636">
      <formula>$A9="PREVISTO"</formula>
    </cfRule>
  </conditionalFormatting>
  <conditionalFormatting sqref="R16 X16 AD16 AJ16 AP16 AV16 BB16 BH16 BN16 BT16 BZ16">
    <cfRule type="expression" dxfId="681" priority="606">
      <formula>$A16="PREVISTO"</formula>
    </cfRule>
  </conditionalFormatting>
  <conditionalFormatting sqref="R16 X16 AD16 AJ16 AP16 AV16 BB16 BH16 BN16 BT16 BZ16">
    <cfRule type="expression" dxfId="680" priority="605">
      <formula>$A16="REALIZADO"</formula>
    </cfRule>
  </conditionalFormatting>
  <conditionalFormatting sqref="A16:E16">
    <cfRule type="expression" dxfId="679" priority="632">
      <formula>$A16="PREVISTO"</formula>
    </cfRule>
  </conditionalFormatting>
  <conditionalFormatting sqref="A16:E16">
    <cfRule type="expression" dxfId="678" priority="631">
      <formula>$A16="REALIZADO"</formula>
    </cfRule>
  </conditionalFormatting>
  <conditionalFormatting sqref="F16">
    <cfRule type="expression" dxfId="677" priority="630">
      <formula>$A16="PREVISTO"</formula>
    </cfRule>
  </conditionalFormatting>
  <conditionalFormatting sqref="F16">
    <cfRule type="expression" dxfId="676" priority="629">
      <formula>$A16="REALIZADO"</formula>
    </cfRule>
  </conditionalFormatting>
  <conditionalFormatting sqref="G16:H16">
    <cfRule type="expression" dxfId="675" priority="628">
      <formula>$A16="PREVISTO"</formula>
    </cfRule>
  </conditionalFormatting>
  <conditionalFormatting sqref="G16:H16">
    <cfRule type="expression" dxfId="674" priority="627">
      <formula>$A16="REALIZADO"</formula>
    </cfRule>
  </conditionalFormatting>
  <conditionalFormatting sqref="M16">
    <cfRule type="expression" dxfId="673" priority="620">
      <formula>$A16="PREVISTO"</formula>
    </cfRule>
  </conditionalFormatting>
  <conditionalFormatting sqref="M16">
    <cfRule type="expression" dxfId="672" priority="619">
      <formula>$A16="REALIZADO"</formula>
    </cfRule>
  </conditionalFormatting>
  <conditionalFormatting sqref="N16">
    <cfRule type="expression" dxfId="671" priority="622">
      <formula>$A16="PREVISTO"</formula>
    </cfRule>
  </conditionalFormatting>
  <conditionalFormatting sqref="N16">
    <cfRule type="expression" dxfId="670" priority="621">
      <formula>$A16="REALIZADO"</formula>
    </cfRule>
  </conditionalFormatting>
  <conditionalFormatting sqref="I16">
    <cfRule type="expression" dxfId="669" priority="626">
      <formula>$A16="PREVISTO"</formula>
    </cfRule>
  </conditionalFormatting>
  <conditionalFormatting sqref="I16">
    <cfRule type="expression" dxfId="668" priority="625">
      <formula>$A16="REALIZADO"</formula>
    </cfRule>
  </conditionalFormatting>
  <conditionalFormatting sqref="J16">
    <cfRule type="expression" dxfId="667" priority="624">
      <formula>$A16="PREVISTO"</formula>
    </cfRule>
  </conditionalFormatting>
  <conditionalFormatting sqref="J16">
    <cfRule type="expression" dxfId="666" priority="623">
      <formula>$A16="REALIZADO"</formula>
    </cfRule>
  </conditionalFormatting>
  <conditionalFormatting sqref="K16">
    <cfRule type="expression" dxfId="665" priority="616">
      <formula>$A16="PREVISTO"</formula>
    </cfRule>
  </conditionalFormatting>
  <conditionalFormatting sqref="K16">
    <cfRule type="expression" dxfId="664" priority="615">
      <formula>$A16="REALIZADO"</formula>
    </cfRule>
  </conditionalFormatting>
  <conditionalFormatting sqref="L16">
    <cfRule type="expression" dxfId="663" priority="618">
      <formula>$A16="PREVISTO"</formula>
    </cfRule>
  </conditionalFormatting>
  <conditionalFormatting sqref="L16">
    <cfRule type="expression" dxfId="662" priority="617">
      <formula>$A16="REALIZADO"</formula>
    </cfRule>
  </conditionalFormatting>
  <conditionalFormatting sqref="S16 Y16 AQ16 AW16 BC16 BI16 BO16 BU16 CA16">
    <cfRule type="expression" dxfId="661" priority="608">
      <formula>$A16="PREVISTO"</formula>
    </cfRule>
  </conditionalFormatting>
  <conditionalFormatting sqref="S16 Y16 AQ16 AW16 BC16 BI16 BO16 BU16 CA16">
    <cfRule type="expression" dxfId="660" priority="607">
      <formula>$A16="REALIZADO"</formula>
    </cfRule>
  </conditionalFormatting>
  <conditionalFormatting sqref="T16 Z16 AF16 AR16 AX16 BD16 BJ16 BP16 BV16 CB16">
    <cfRule type="expression" dxfId="659" priority="610">
      <formula>$A16="PREVISTO"</formula>
    </cfRule>
  </conditionalFormatting>
  <conditionalFormatting sqref="T16 Z16 AF16 AR16 AX16 BD16 BJ16 BP16 BV16 CB16">
    <cfRule type="expression" dxfId="658" priority="609">
      <formula>$A16="REALIZADO"</formula>
    </cfRule>
  </conditionalFormatting>
  <conditionalFormatting sqref="O16 U16 AG16 AM16 AS16 AY16 BE16 BK16 BQ16 BW16 AA16">
    <cfRule type="expression" dxfId="657" priority="614">
      <formula>$A16="PREVISTO"</formula>
    </cfRule>
  </conditionalFormatting>
  <conditionalFormatting sqref="O16 U16 AG16 AM16 AS16 AY16 BE16 BK16 BQ16 BW16 AA16">
    <cfRule type="expression" dxfId="656" priority="613">
      <formula>$A16="REALIZADO"</formula>
    </cfRule>
  </conditionalFormatting>
  <conditionalFormatting sqref="P16 V16 AH16 AN16 AT16 AZ16 BF16 BL16 BR16 BX16 AB16">
    <cfRule type="expression" dxfId="655" priority="612">
      <formula>$A16="PREVISTO"</formula>
    </cfRule>
  </conditionalFormatting>
  <conditionalFormatting sqref="P16 V16 AH16 AN16 AT16 AZ16 BF16 BL16 BR16 BX16 AB16">
    <cfRule type="expression" dxfId="654" priority="611">
      <formula>$A16="REALIZADO"</formula>
    </cfRule>
  </conditionalFormatting>
  <conditionalFormatting sqref="Q16 W16 AC16 AI16 AO16 AU16 BA16 BG16 BM16 BS16 BY16">
    <cfRule type="expression" dxfId="653" priority="604">
      <formula>$A16="PREVISTO"</formula>
    </cfRule>
  </conditionalFormatting>
  <conditionalFormatting sqref="Q16 W16 AC16 AI16 AO16 AU16 BA16 BG16 BM16 BS16 BY16">
    <cfRule type="expression" dxfId="652" priority="603">
      <formula>$A16="REALIZADO"</formula>
    </cfRule>
  </conditionalFormatting>
  <conditionalFormatting sqref="A20:E20">
    <cfRule type="expression" dxfId="651" priority="602">
      <formula>$A20="PREVISTO"</formula>
    </cfRule>
  </conditionalFormatting>
  <conditionalFormatting sqref="A20:E20">
    <cfRule type="expression" dxfId="650" priority="601">
      <formula>$A20="REALIZADO"</formula>
    </cfRule>
  </conditionalFormatting>
  <conditionalFormatting sqref="F20">
    <cfRule type="expression" dxfId="649" priority="600">
      <formula>$A20="PREVISTO"</formula>
    </cfRule>
  </conditionalFormatting>
  <conditionalFormatting sqref="F20">
    <cfRule type="expression" dxfId="648" priority="599">
      <formula>$A20="REALIZADO"</formula>
    </cfRule>
  </conditionalFormatting>
  <conditionalFormatting sqref="G20:H20">
    <cfRule type="expression" dxfId="647" priority="598">
      <formula>$A20="PREVISTO"</formula>
    </cfRule>
  </conditionalFormatting>
  <conditionalFormatting sqref="G20:H20">
    <cfRule type="expression" dxfId="646" priority="597">
      <formula>$A20="REALIZADO"</formula>
    </cfRule>
  </conditionalFormatting>
  <conditionalFormatting sqref="M20">
    <cfRule type="expression" dxfId="645" priority="590">
      <formula>$A20="PREVISTO"</formula>
    </cfRule>
  </conditionalFormatting>
  <conditionalFormatting sqref="M20">
    <cfRule type="expression" dxfId="644" priority="589">
      <formula>$A20="REALIZADO"</formula>
    </cfRule>
  </conditionalFormatting>
  <conditionalFormatting sqref="N20">
    <cfRule type="expression" dxfId="643" priority="592">
      <formula>$A20="PREVISTO"</formula>
    </cfRule>
  </conditionalFormatting>
  <conditionalFormatting sqref="N20">
    <cfRule type="expression" dxfId="642" priority="591">
      <formula>$A20="REALIZADO"</formula>
    </cfRule>
  </conditionalFormatting>
  <conditionalFormatting sqref="I20">
    <cfRule type="expression" dxfId="641" priority="596">
      <formula>$A20="PREVISTO"</formula>
    </cfRule>
  </conditionalFormatting>
  <conditionalFormatting sqref="I20">
    <cfRule type="expression" dxfId="640" priority="595">
      <formula>$A20="REALIZADO"</formula>
    </cfRule>
  </conditionalFormatting>
  <conditionalFormatting sqref="J20">
    <cfRule type="expression" dxfId="639" priority="594">
      <formula>$A20="PREVISTO"</formula>
    </cfRule>
  </conditionalFormatting>
  <conditionalFormatting sqref="J20">
    <cfRule type="expression" dxfId="638" priority="593">
      <formula>$A20="REALIZADO"</formula>
    </cfRule>
  </conditionalFormatting>
  <conditionalFormatting sqref="K20">
    <cfRule type="expression" dxfId="637" priority="586">
      <formula>$A20="PREVISTO"</formula>
    </cfRule>
  </conditionalFormatting>
  <conditionalFormatting sqref="K20">
    <cfRule type="expression" dxfId="636" priority="585">
      <formula>$A20="REALIZADO"</formula>
    </cfRule>
  </conditionalFormatting>
  <conditionalFormatting sqref="L20">
    <cfRule type="expression" dxfId="635" priority="588">
      <formula>$A20="PREVISTO"</formula>
    </cfRule>
  </conditionalFormatting>
  <conditionalFormatting sqref="L20">
    <cfRule type="expression" dxfId="634" priority="587">
      <formula>$A20="REALIZADO"</formula>
    </cfRule>
  </conditionalFormatting>
  <conditionalFormatting sqref="S20 Y20 AQ20 AW20 BC20 BI20 BO20 BU20 CA20">
    <cfRule type="expression" dxfId="633" priority="578">
      <formula>$A20="PREVISTO"</formula>
    </cfRule>
  </conditionalFormatting>
  <conditionalFormatting sqref="S20 Y20 AQ20 AW20 BC20 BI20 BO20 BU20 CA20">
    <cfRule type="expression" dxfId="632" priority="577">
      <formula>$A20="REALIZADO"</formula>
    </cfRule>
  </conditionalFormatting>
  <conditionalFormatting sqref="T20 Z20 AF20 AR20 AX20 BD20 BJ20 BP20 BV20 CB20">
    <cfRule type="expression" dxfId="631" priority="580">
      <formula>$A20="PREVISTO"</formula>
    </cfRule>
  </conditionalFormatting>
  <conditionalFormatting sqref="T20 Z20 AF20 AR20 AX20 BD20 BJ20 BP20 BV20 CB20">
    <cfRule type="expression" dxfId="630" priority="579">
      <formula>$A20="REALIZADO"</formula>
    </cfRule>
  </conditionalFormatting>
  <conditionalFormatting sqref="O20 U20 AA20 AG20 AM20 AS20 AY20 BE20 BK20 BQ20 BW20">
    <cfRule type="expression" dxfId="629" priority="584">
      <formula>$A20="PREVISTO"</formula>
    </cfRule>
  </conditionalFormatting>
  <conditionalFormatting sqref="O20 U20 AA20 AG20 AM20 AS20 AY20 BE20 BK20 BQ20 BW20">
    <cfRule type="expression" dxfId="628" priority="583">
      <formula>$A20="REALIZADO"</formula>
    </cfRule>
  </conditionalFormatting>
  <conditionalFormatting sqref="P20 V20 AB20 AH20 AN20 AT20 AZ20 BF20 BL20 BR20 BX20">
    <cfRule type="expression" dxfId="627" priority="582">
      <formula>$A20="PREVISTO"</formula>
    </cfRule>
  </conditionalFormatting>
  <conditionalFormatting sqref="P20 V20 AB20 AH20 AN20 AT20 AZ20 BF20 BL20 BR20 BX20">
    <cfRule type="expression" dxfId="626" priority="581">
      <formula>$A20="REALIZADO"</formula>
    </cfRule>
  </conditionalFormatting>
  <conditionalFormatting sqref="Q20 W20 AC20 AI20 AO20 AU20 BA20 BG20 BM20 BS20 BY20">
    <cfRule type="expression" dxfId="625" priority="574">
      <formula>$A20="PREVISTO"</formula>
    </cfRule>
  </conditionalFormatting>
  <conditionalFormatting sqref="Q20 W20 AC20 AI20 AO20 AU20 BA20 BG20 BM20 BS20 BY20">
    <cfRule type="expression" dxfId="624" priority="573">
      <formula>$A20="REALIZADO"</formula>
    </cfRule>
  </conditionalFormatting>
  <conditionalFormatting sqref="R20 X20 AD20 AJ20 AP20 AV20 BB20 BH20 BN20 BT20 BZ20">
    <cfRule type="expression" dxfId="623" priority="576">
      <formula>$A20="PREVISTO"</formula>
    </cfRule>
  </conditionalFormatting>
  <conditionalFormatting sqref="R20 X20 AD20 AJ20 AP20 AV20 BB20 BH20 BN20 BT20 BZ20">
    <cfRule type="expression" dxfId="622" priority="575">
      <formula>$A20="REALIZADO"</formula>
    </cfRule>
  </conditionalFormatting>
  <conditionalFormatting sqref="I22">
    <cfRule type="expression" dxfId="621" priority="566">
      <formula>$A22="PREVISTO"</formula>
    </cfRule>
  </conditionalFormatting>
  <conditionalFormatting sqref="I22">
    <cfRule type="expression" dxfId="620" priority="565">
      <formula>$A22="REALIZADO"</formula>
    </cfRule>
  </conditionalFormatting>
  <conditionalFormatting sqref="J22">
    <cfRule type="expression" dxfId="619" priority="564">
      <formula>$A22="PREVISTO"</formula>
    </cfRule>
  </conditionalFormatting>
  <conditionalFormatting sqref="J22">
    <cfRule type="expression" dxfId="618" priority="563">
      <formula>$A22="REALIZADO"</formula>
    </cfRule>
  </conditionalFormatting>
  <conditionalFormatting sqref="N22">
    <cfRule type="expression" dxfId="617" priority="562">
      <formula>$A22="PREVISTO"</formula>
    </cfRule>
  </conditionalFormatting>
  <conditionalFormatting sqref="N22">
    <cfRule type="expression" dxfId="616" priority="561">
      <formula>$A22="REALIZADO"</formula>
    </cfRule>
  </conditionalFormatting>
  <conditionalFormatting sqref="M22">
    <cfRule type="expression" dxfId="615" priority="560">
      <formula>$A22="PREVISTO"</formula>
    </cfRule>
  </conditionalFormatting>
  <conditionalFormatting sqref="M22">
    <cfRule type="expression" dxfId="614" priority="559">
      <formula>$A22="REALIZADO"</formula>
    </cfRule>
  </conditionalFormatting>
  <conditionalFormatting sqref="K22">
    <cfRule type="expression" dxfId="613" priority="556">
      <formula>$A22="PREVISTO"</formula>
    </cfRule>
  </conditionalFormatting>
  <conditionalFormatting sqref="K22">
    <cfRule type="expression" dxfId="612" priority="555">
      <formula>$A22="REALIZADO"</formula>
    </cfRule>
  </conditionalFormatting>
  <conditionalFormatting sqref="L22">
    <cfRule type="expression" dxfId="611" priority="558">
      <formula>$A22="PREVISTO"</formula>
    </cfRule>
  </conditionalFormatting>
  <conditionalFormatting sqref="L22">
    <cfRule type="expression" dxfId="610" priority="557">
      <formula>$A22="REALIZADO"</formula>
    </cfRule>
  </conditionalFormatting>
  <conditionalFormatting sqref="S22 Y22 AQ22 AW22 BC22 BI22 BO22 BU22 CA22">
    <cfRule type="expression" dxfId="609" priority="548">
      <formula>$A22="PREVISTO"</formula>
    </cfRule>
  </conditionalFormatting>
  <conditionalFormatting sqref="S22 Y22 AQ22 AW22 BC22 BI22 BO22 BU22 CA22">
    <cfRule type="expression" dxfId="608" priority="547">
      <formula>$A22="REALIZADO"</formula>
    </cfRule>
  </conditionalFormatting>
  <conditionalFormatting sqref="T22 Z22 AF22 AR22 AX22 BD22 BJ22 BP22 BV22 CB22">
    <cfRule type="expression" dxfId="607" priority="550">
      <formula>$A22="PREVISTO"</formula>
    </cfRule>
  </conditionalFormatting>
  <conditionalFormatting sqref="T22 Z22 AF22 AR22 AX22 BD22 BJ22 BP22 BV22 CB22">
    <cfRule type="expression" dxfId="606" priority="549">
      <formula>$A22="REALIZADO"</formula>
    </cfRule>
  </conditionalFormatting>
  <conditionalFormatting sqref="O22 U22 AA22 AG22 AM22 AS22 AY22 BE22 BK22 BQ22 BW22">
    <cfRule type="expression" dxfId="605" priority="554">
      <formula>$A22="PREVISTO"</formula>
    </cfRule>
  </conditionalFormatting>
  <conditionalFormatting sqref="O22 U22 AA22 AG22 AM22 AS22 AY22 BE22 BK22 BQ22 BW22">
    <cfRule type="expression" dxfId="604" priority="553">
      <formula>$A22="REALIZADO"</formula>
    </cfRule>
  </conditionalFormatting>
  <conditionalFormatting sqref="P22 V22 AB22 AH22 AN22 AT22 AZ22 BF22 BL22 BR22 BX22">
    <cfRule type="expression" dxfId="603" priority="552">
      <formula>$A22="PREVISTO"</formula>
    </cfRule>
  </conditionalFormatting>
  <conditionalFormatting sqref="P22 V22 AB22 AH22 AN22 AT22 AZ22 BF22 BL22 BR22 BX22">
    <cfRule type="expression" dxfId="602" priority="551">
      <formula>$A22="REALIZADO"</formula>
    </cfRule>
  </conditionalFormatting>
  <conditionalFormatting sqref="Q22 W22 AC22 AI22 AO22 AU22 BA22 BG22 BM22 BS22 BY22">
    <cfRule type="expression" dxfId="601" priority="544">
      <formula>$A22="PREVISTO"</formula>
    </cfRule>
  </conditionalFormatting>
  <conditionalFormatting sqref="Q22 W22 AC22 AI22 AO22 AU22 BA22 BG22 BM22 BS22 BY22">
    <cfRule type="expression" dxfId="600" priority="543">
      <formula>$A22="REALIZADO"</formula>
    </cfRule>
  </conditionalFormatting>
  <conditionalFormatting sqref="R22 X22 AD22 AJ22 AP22 AV22 BB22 BH22 BN22 BT22 BZ22">
    <cfRule type="expression" dxfId="599" priority="546">
      <formula>$A22="PREVISTO"</formula>
    </cfRule>
  </conditionalFormatting>
  <conditionalFormatting sqref="R22 X22 AD22 AJ22 AP22 AV22 BB22 BH22 BN22 BT22 BZ22">
    <cfRule type="expression" dxfId="598" priority="545">
      <formula>$A22="REALIZADO"</formula>
    </cfRule>
  </conditionalFormatting>
  <conditionalFormatting sqref="A30:F32">
    <cfRule type="expression" dxfId="597" priority="525">
      <formula>$A30="PREVISTO"</formula>
    </cfRule>
  </conditionalFormatting>
  <conditionalFormatting sqref="A30:F32">
    <cfRule type="expression" dxfId="596" priority="524">
      <formula>$A30="REALIZADO"</formula>
    </cfRule>
  </conditionalFormatting>
  <conditionalFormatting sqref="G30:H32">
    <cfRule type="expression" dxfId="595" priority="523">
      <formula>$A30="PREVISTO"</formula>
    </cfRule>
  </conditionalFormatting>
  <conditionalFormatting sqref="G30:H32">
    <cfRule type="expression" dxfId="594" priority="522">
      <formula>$A30="REALIZADO"</formula>
    </cfRule>
  </conditionalFormatting>
  <conditionalFormatting sqref="M30:M33">
    <cfRule type="expression" dxfId="593" priority="515">
      <formula>$A30="PREVISTO"</formula>
    </cfRule>
  </conditionalFormatting>
  <conditionalFormatting sqref="M30:M33">
    <cfRule type="expression" dxfId="592" priority="514">
      <formula>$A30="REALIZADO"</formula>
    </cfRule>
  </conditionalFormatting>
  <conditionalFormatting sqref="N30:N33">
    <cfRule type="expression" dxfId="591" priority="517">
      <formula>$A30="PREVISTO"</formula>
    </cfRule>
  </conditionalFormatting>
  <conditionalFormatting sqref="N30:N33">
    <cfRule type="expression" dxfId="590" priority="516">
      <formula>$A30="REALIZADO"</formula>
    </cfRule>
  </conditionalFormatting>
  <conditionalFormatting sqref="I30:I33">
    <cfRule type="expression" dxfId="589" priority="521">
      <formula>$A30="PREVISTO"</formula>
    </cfRule>
  </conditionalFormatting>
  <conditionalFormatting sqref="I30:I33">
    <cfRule type="expression" dxfId="588" priority="520">
      <formula>$A30="REALIZADO"</formula>
    </cfRule>
  </conditionalFormatting>
  <conditionalFormatting sqref="J30:J33">
    <cfRule type="expression" dxfId="587" priority="519">
      <formula>$A30="PREVISTO"</formula>
    </cfRule>
  </conditionalFormatting>
  <conditionalFormatting sqref="J30:J33">
    <cfRule type="expression" dxfId="586" priority="518">
      <formula>$A30="REALIZADO"</formula>
    </cfRule>
  </conditionalFormatting>
  <conditionalFormatting sqref="K30:K33">
    <cfRule type="expression" dxfId="585" priority="511">
      <formula>$A30="PREVISTO"</formula>
    </cfRule>
  </conditionalFormatting>
  <conditionalFormatting sqref="K30:K33">
    <cfRule type="expression" dxfId="584" priority="510">
      <formula>$A30="REALIZADO"</formula>
    </cfRule>
  </conditionalFormatting>
  <conditionalFormatting sqref="L30:L33">
    <cfRule type="expression" dxfId="583" priority="513">
      <formula>$A30="PREVISTO"</formula>
    </cfRule>
  </conditionalFormatting>
  <conditionalFormatting sqref="L30:L33">
    <cfRule type="expression" dxfId="582" priority="512">
      <formula>$A30="REALIZADO"</formula>
    </cfRule>
  </conditionalFormatting>
  <conditionalFormatting sqref="S30:S33 Y30:Y33 AQ30:AQ33 AW30:AW33 BC30:BC33 BI30:BI33 BO30:BO33 BU30:BU33 CA30:CA33">
    <cfRule type="expression" dxfId="581" priority="503">
      <formula>$A30="PREVISTO"</formula>
    </cfRule>
  </conditionalFormatting>
  <conditionalFormatting sqref="S30:S33 Y30:Y33 AQ30:AQ33 AW30:AW33 BC30:BC33 BI30:BI33 BO30:BO33 BU30:BU33 CA30:CA33">
    <cfRule type="expression" dxfId="580" priority="502">
      <formula>$A30="REALIZADO"</formula>
    </cfRule>
  </conditionalFormatting>
  <conditionalFormatting sqref="T30:T33 Z30:Z33 AF30:AF33 AR30:AR33 AX30:AX33 BD30:BD33 BJ30:BJ33 BP30:BP33 BV30:BV33 CB30:CB33">
    <cfRule type="expression" dxfId="579" priority="505">
      <formula>$A30="PREVISTO"</formula>
    </cfRule>
  </conditionalFormatting>
  <conditionalFormatting sqref="T30:T33 Z30:Z33 AF30:AF33 AR30:AR33 AX30:AX33 BD30:BD33 BJ30:BJ33 BP30:BP33 BV30:BV33 CB30:CB33">
    <cfRule type="expression" dxfId="578" priority="504">
      <formula>$A30="REALIZADO"</formula>
    </cfRule>
  </conditionalFormatting>
  <conditionalFormatting sqref="O30:O33 U30:U33 AA30:AA33 AG30:AG33 AM30:AM33 AS30:AS33 AY30:AY33 BE30:BE33 BK30:BK33 BQ30:BQ33 BW30:BW33">
    <cfRule type="expression" dxfId="577" priority="509">
      <formula>$A30="PREVISTO"</formula>
    </cfRule>
  </conditionalFormatting>
  <conditionalFormatting sqref="O30:O33 U30:U33 AA30:AA33 AG30:AG33 AM30:AM33 AS30:AS33 AY30:AY33 BE30:BE33 BK30:BK33 BQ30:BQ33 BW30:BW33">
    <cfRule type="expression" dxfId="576" priority="508">
      <formula>$A30="REALIZADO"</formula>
    </cfRule>
  </conditionalFormatting>
  <conditionalFormatting sqref="P30:P33 V30:V33 AB30:AB33 AH30:AH33 AN30:AN33 AT30:AT33 AZ30:AZ33 BF30:BF33 BL30:BL33 BR30:BR33 BX30:BX33">
    <cfRule type="expression" dxfId="575" priority="507">
      <formula>$A30="PREVISTO"</formula>
    </cfRule>
  </conditionalFormatting>
  <conditionalFormatting sqref="P30:P33 V30:V33 AB30:AB33 AH30:AH33 AN30:AN33 AT30:AT33 AZ30:AZ33 BF30:BF33 BL30:BL33 BR30:BR33 BX30:BX33">
    <cfRule type="expression" dxfId="574" priority="506">
      <formula>$A30="REALIZADO"</formula>
    </cfRule>
  </conditionalFormatting>
  <conditionalFormatting sqref="Q30:Q33 AC30:AC33 AI30:AI33 AO30:AO33 AU30:AU33 BA30:BA33 BG30:BG33 BM30:BM33 BS30:BS33 BY30:BY33 W30:W33">
    <cfRule type="expression" dxfId="573" priority="499">
      <formula>$A30="PREVISTO"</formula>
    </cfRule>
  </conditionalFormatting>
  <conditionalFormatting sqref="Q30:Q33 AC30:AC33 AI30:AI33 AO30:AO33 AU30:AU33 BA30:BA33 BG30:BG33 BM30:BM33 BS30:BS33 BY30:BY33 W30:W33">
    <cfRule type="expression" dxfId="572" priority="498">
      <formula>$A30="REALIZADO"</formula>
    </cfRule>
  </conditionalFormatting>
  <conditionalFormatting sqref="R30:R33 X30:X33 AD30:AD33 AJ30:AJ33 AP30:AP33 AV30:AV33 BB30:BB33 BH30:BH33 BN30:BN33 BT30:BT33 BZ30:BZ33">
    <cfRule type="expression" dxfId="571" priority="501">
      <formula>$A30="PREVISTO"</formula>
    </cfRule>
  </conditionalFormatting>
  <conditionalFormatting sqref="R30:R33 X30:X33 AD30:AD33 AJ30:AJ33 AP30:AP33 AV30:AV33 BB30:BB33 BH30:BH33 BN30:BN33 BT30:BT33 BZ30:BZ33">
    <cfRule type="expression" dxfId="570" priority="500">
      <formula>$A30="REALIZADO"</formula>
    </cfRule>
  </conditionalFormatting>
  <conditionalFormatting sqref="I28:J28 M28:P28 S28:V28 Y28:AB28 AF28:AH28 AQ28:AT28 AW28:AZ28 BC28:BF28 BI28:BL28 BO28:BR28 BU28:BX28 CA28:CB28 AM28:AN28">
    <cfRule type="expression" dxfId="569" priority="482">
      <formula>$A28="PREVISTO"</formula>
    </cfRule>
  </conditionalFormatting>
  <conditionalFormatting sqref="I28:J28 M28:P28 S28:V28 Y28:AB28 AF28:AH28 AQ28:AT28 AW28:AZ28 BC28:BF28 BI28:BL28 BO28:BR28 BU28:BX28 CA28:CB28 AM28:AN28">
    <cfRule type="expression" dxfId="568" priority="481">
      <formula>$A28="REALIZADO"</formula>
    </cfRule>
  </conditionalFormatting>
  <conditionalFormatting sqref="A28:E28">
    <cfRule type="expression" dxfId="567" priority="480">
      <formula>$A28="PREVISTO"</formula>
    </cfRule>
  </conditionalFormatting>
  <conditionalFormatting sqref="E28">
    <cfRule type="expression" dxfId="566" priority="479">
      <formula>$A28="REALIZADO"</formula>
    </cfRule>
  </conditionalFormatting>
  <conditionalFormatting sqref="A28:D28">
    <cfRule type="expression" dxfId="565" priority="478">
      <formula>$A28="REALIZADO"</formula>
    </cfRule>
  </conditionalFormatting>
  <conditionalFormatting sqref="G28:H28">
    <cfRule type="expression" dxfId="564" priority="477">
      <formula>$A28="PREVISTO"</formula>
    </cfRule>
  </conditionalFormatting>
  <conditionalFormatting sqref="G28:H28">
    <cfRule type="expression" dxfId="563" priority="476">
      <formula>$A28="REALIZADO"</formula>
    </cfRule>
  </conditionalFormatting>
  <conditionalFormatting sqref="L28">
    <cfRule type="expression" dxfId="562" priority="475">
      <formula>$A28="PREVISTO"</formula>
    </cfRule>
  </conditionalFormatting>
  <conditionalFormatting sqref="L28">
    <cfRule type="expression" dxfId="561" priority="474">
      <formula>$A28="REALIZADO"</formula>
    </cfRule>
  </conditionalFormatting>
  <conditionalFormatting sqref="K28">
    <cfRule type="expression" dxfId="560" priority="473">
      <formula>$A28="PREVISTO"</formula>
    </cfRule>
  </conditionalFormatting>
  <conditionalFormatting sqref="K28">
    <cfRule type="expression" dxfId="559" priority="472">
      <formula>$A28="REALIZADO"</formula>
    </cfRule>
  </conditionalFormatting>
  <conditionalFormatting sqref="R28 X28 AD28 AJ28 AP28 AV28 BB28 BH28 BN28 BT28 BZ28">
    <cfRule type="expression" dxfId="558" priority="471">
      <formula>$A28="PREVISTO"</formula>
    </cfRule>
  </conditionalFormatting>
  <conditionalFormatting sqref="R28 X28 AD28 AJ28 AP28 AV28 BB28 BH28 BN28 BT28 BZ28">
    <cfRule type="expression" dxfId="557" priority="470">
      <formula>$A28="REALIZADO"</formula>
    </cfRule>
  </conditionalFormatting>
  <conditionalFormatting sqref="Q28 W28 AC28 AI28 AO28 AU28 BA28 BG28 BM28 BS28 BY28">
    <cfRule type="expression" dxfId="556" priority="469">
      <formula>$A28="PREVISTO"</formula>
    </cfRule>
  </conditionalFormatting>
  <conditionalFormatting sqref="Q28 W28 AC28 AI28 AO28 AU28 BA28 BG28 BM28 BS28 BY28">
    <cfRule type="expression" dxfId="555" priority="468">
      <formula>$A28="REALIZADO"</formula>
    </cfRule>
  </conditionalFormatting>
  <conditionalFormatting sqref="I29:J29 M29:P29 S29:V29 Y29:AB29 AF29:AH29 AQ29:AT29 AW29:AZ29 BC29:BF29 BI29:BL29 BO29:BR29 BU29:BX29 CA29:CB29 AM29:AN29">
    <cfRule type="expression" dxfId="554" priority="467">
      <formula>$A29="PREVISTO"</formula>
    </cfRule>
  </conditionalFormatting>
  <conditionalFormatting sqref="I29:J29 M29:P29 S29:V29 Y29:AB29 AF29:AH29 AQ29:AT29 AW29:AZ29 BC29:BF29 BI29:BL29 BO29:BR29 BU29:BX29 CA29:CB29 AM29:AN29">
    <cfRule type="expression" dxfId="553" priority="466">
      <formula>$A29="REALIZADO"</formula>
    </cfRule>
  </conditionalFormatting>
  <conditionalFormatting sqref="A29:F29">
    <cfRule type="expression" dxfId="552" priority="465">
      <formula>$A29="PREVISTO"</formula>
    </cfRule>
  </conditionalFormatting>
  <conditionalFormatting sqref="E29:F29">
    <cfRule type="expression" dxfId="551" priority="464">
      <formula>$A29="REALIZADO"</formula>
    </cfRule>
  </conditionalFormatting>
  <conditionalFormatting sqref="A29:D29">
    <cfRule type="expression" dxfId="550" priority="463">
      <formula>$A29="REALIZADO"</formula>
    </cfRule>
  </conditionalFormatting>
  <conditionalFormatting sqref="G29:H29">
    <cfRule type="expression" dxfId="549" priority="462">
      <formula>$A29="PREVISTO"</formula>
    </cfRule>
  </conditionalFormatting>
  <conditionalFormatting sqref="G29:H29">
    <cfRule type="expression" dxfId="548" priority="461">
      <formula>$A29="REALIZADO"</formula>
    </cfRule>
  </conditionalFormatting>
  <conditionalFormatting sqref="L29">
    <cfRule type="expression" dxfId="547" priority="460">
      <formula>$A29="PREVISTO"</formula>
    </cfRule>
  </conditionalFormatting>
  <conditionalFormatting sqref="L29">
    <cfRule type="expression" dxfId="546" priority="459">
      <formula>$A29="REALIZADO"</formula>
    </cfRule>
  </conditionalFormatting>
  <conditionalFormatting sqref="K29">
    <cfRule type="expression" dxfId="545" priority="458">
      <formula>$A29="PREVISTO"</formula>
    </cfRule>
  </conditionalFormatting>
  <conditionalFormatting sqref="K29">
    <cfRule type="expression" dxfId="544" priority="457">
      <formula>$A29="REALIZADO"</formula>
    </cfRule>
  </conditionalFormatting>
  <conditionalFormatting sqref="R29 X29 AD29 AJ29 AP29 AV29 BB29 BH29 BN29 BT29 BZ29">
    <cfRule type="expression" dxfId="543" priority="456">
      <formula>$A29="PREVISTO"</formula>
    </cfRule>
  </conditionalFormatting>
  <conditionalFormatting sqref="R29 X29 AD29 AJ29 AP29 AV29 BB29 BH29 BN29 BT29 BZ29">
    <cfRule type="expression" dxfId="542" priority="455">
      <formula>$A29="REALIZADO"</formula>
    </cfRule>
  </conditionalFormatting>
  <conditionalFormatting sqref="Q29 W29 AC29 AI29 AO29 AU29 BA29 BG29 BM29 BS29 BY29">
    <cfRule type="expression" dxfId="541" priority="454">
      <formula>$A29="PREVISTO"</formula>
    </cfRule>
  </conditionalFormatting>
  <conditionalFormatting sqref="Q29 W29 AC29 AI29 AO29 AU29 BA29 BG29 BM29 BS29 BY29">
    <cfRule type="expression" dxfId="540" priority="453">
      <formula>$A29="REALIZADO"</formula>
    </cfRule>
  </conditionalFormatting>
  <conditionalFormatting sqref="AE23">
    <cfRule type="expression" dxfId="539" priority="426">
      <formula>$A23="PREVISTO"</formula>
    </cfRule>
  </conditionalFormatting>
  <conditionalFormatting sqref="AE23">
    <cfRule type="expression" dxfId="538" priority="425">
      <formula>$A23="REALIZADO"</formula>
    </cfRule>
  </conditionalFormatting>
  <conditionalFormatting sqref="U17">
    <cfRule type="expression" dxfId="537" priority="450">
      <formula>$A17="PREVISTO"</formula>
    </cfRule>
  </conditionalFormatting>
  <conditionalFormatting sqref="U17">
    <cfRule type="expression" dxfId="536" priority="449">
      <formula>$A17="REALIZADO"</formula>
    </cfRule>
  </conditionalFormatting>
  <conditionalFormatting sqref="U18">
    <cfRule type="expression" dxfId="535" priority="448">
      <formula>$A18="PREVISTO"</formula>
    </cfRule>
  </conditionalFormatting>
  <conditionalFormatting sqref="U18">
    <cfRule type="expression" dxfId="534" priority="447">
      <formula>$A18="REALIZADO"</formula>
    </cfRule>
  </conditionalFormatting>
  <conditionalFormatting sqref="A33:H33">
    <cfRule type="expression" dxfId="533" priority="305">
      <formula>$A33="REALIZADO"</formula>
    </cfRule>
  </conditionalFormatting>
  <conditionalFormatting sqref="U21">
    <cfRule type="expression" dxfId="532" priority="446">
      <formula>$A21="PREVISTO"</formula>
    </cfRule>
  </conditionalFormatting>
  <conditionalFormatting sqref="U21">
    <cfRule type="expression" dxfId="531" priority="445">
      <formula>$A21="REALIZADO"</formula>
    </cfRule>
  </conditionalFormatting>
  <conditionalFormatting sqref="Y25">
    <cfRule type="expression" dxfId="530" priority="444">
      <formula>$A25="PREVISTO"</formula>
    </cfRule>
  </conditionalFormatting>
  <conditionalFormatting sqref="Y25">
    <cfRule type="expression" dxfId="529" priority="443">
      <formula>$A25="REALIZADO"</formula>
    </cfRule>
  </conditionalFormatting>
  <conditionalFormatting sqref="A27:H27">
    <cfRule type="expression" dxfId="528" priority="308">
      <formula>$A27="PREVISTO"</formula>
    </cfRule>
  </conditionalFormatting>
  <conditionalFormatting sqref="A27:H27">
    <cfRule type="expression" dxfId="527" priority="307">
      <formula>$A27="REALIZADO"</formula>
    </cfRule>
  </conditionalFormatting>
  <conditionalFormatting sqref="AA17">
    <cfRule type="expression" dxfId="526" priority="440">
      <formula>$A17="PREVISTO"</formula>
    </cfRule>
  </conditionalFormatting>
  <conditionalFormatting sqref="AA17">
    <cfRule type="expression" dxfId="525" priority="439">
      <formula>$A17="REALIZADO"</formula>
    </cfRule>
  </conditionalFormatting>
  <conditionalFormatting sqref="AA18">
    <cfRule type="expression" dxfId="524" priority="438">
      <formula>$A18="PREVISTO"</formula>
    </cfRule>
  </conditionalFormatting>
  <conditionalFormatting sqref="AA18">
    <cfRule type="expression" dxfId="523" priority="437">
      <formula>$A18="REALIZADO"</formula>
    </cfRule>
  </conditionalFormatting>
  <conditionalFormatting sqref="AA21">
    <cfRule type="expression" dxfId="522" priority="436">
      <formula>$A21="PREVISTO"</formula>
    </cfRule>
  </conditionalFormatting>
  <conditionalFormatting sqref="AA21">
    <cfRule type="expression" dxfId="521" priority="435">
      <formula>$A21="REALIZADO"</formula>
    </cfRule>
  </conditionalFormatting>
  <conditionalFormatting sqref="AA27">
    <cfRule type="expression" dxfId="520" priority="434">
      <formula>$A27="PREVISTO"</formula>
    </cfRule>
  </conditionalFormatting>
  <conditionalFormatting sqref="AA27">
    <cfRule type="expression" dxfId="519" priority="433">
      <formula>$A27="REALIZADO"</formula>
    </cfRule>
  </conditionalFormatting>
  <conditionalFormatting sqref="AE24:AE26">
    <cfRule type="expression" dxfId="518" priority="432">
      <formula>$A24="PREVISTO"</formula>
    </cfRule>
  </conditionalFormatting>
  <conditionalFormatting sqref="AE24:AE26">
    <cfRule type="expression" dxfId="517" priority="431">
      <formula>$A24="REALIZADO"</formula>
    </cfRule>
  </conditionalFormatting>
  <conditionalFormatting sqref="AE14:AE15 AE21 AE17:AE18">
    <cfRule type="expression" dxfId="516" priority="430">
      <formula>$A14="PREVISTO"</formula>
    </cfRule>
  </conditionalFormatting>
  <conditionalFormatting sqref="AE14:AE15 AE21 AE17:AE18">
    <cfRule type="expression" dxfId="515" priority="429">
      <formula>$A14="REALIZADO"</formula>
    </cfRule>
  </conditionalFormatting>
  <conditionalFormatting sqref="AE19">
    <cfRule type="expression" dxfId="514" priority="428">
      <formula>$A19="PREVISTO"</formula>
    </cfRule>
  </conditionalFormatting>
  <conditionalFormatting sqref="AE19">
    <cfRule type="expression" dxfId="513" priority="427">
      <formula>$A19="REALIZADO"</formula>
    </cfRule>
  </conditionalFormatting>
  <conditionalFormatting sqref="AE27">
    <cfRule type="expression" dxfId="512" priority="424">
      <formula>$A27="PREVISTO"</formula>
    </cfRule>
  </conditionalFormatting>
  <conditionalFormatting sqref="AE27">
    <cfRule type="expression" dxfId="511" priority="423">
      <formula>$A27="REALIZADO"</formula>
    </cfRule>
  </conditionalFormatting>
  <conditionalFormatting sqref="AE16">
    <cfRule type="expression" dxfId="510" priority="422">
      <formula>$A16="PREVISTO"</formula>
    </cfRule>
  </conditionalFormatting>
  <conditionalFormatting sqref="AE16">
    <cfRule type="expression" dxfId="509" priority="421">
      <formula>$A16="REALIZADO"</formula>
    </cfRule>
  </conditionalFormatting>
  <conditionalFormatting sqref="AE20">
    <cfRule type="expression" dxfId="508" priority="420">
      <formula>$A20="PREVISTO"</formula>
    </cfRule>
  </conditionalFormatting>
  <conditionalFormatting sqref="AE20">
    <cfRule type="expression" dxfId="507" priority="419">
      <formula>$A20="REALIZADO"</formula>
    </cfRule>
  </conditionalFormatting>
  <conditionalFormatting sqref="AE22">
    <cfRule type="expression" dxfId="506" priority="418">
      <formula>$A22="PREVISTO"</formula>
    </cfRule>
  </conditionalFormatting>
  <conditionalFormatting sqref="AE22">
    <cfRule type="expression" dxfId="505" priority="417">
      <formula>$A22="REALIZADO"</formula>
    </cfRule>
  </conditionalFormatting>
  <conditionalFormatting sqref="AE30:AE33">
    <cfRule type="expression" dxfId="504" priority="416">
      <formula>$A30="PREVISTO"</formula>
    </cfRule>
  </conditionalFormatting>
  <conditionalFormatting sqref="AE30:AE33">
    <cfRule type="expression" dxfId="503" priority="415">
      <formula>$A30="REALIZADO"</formula>
    </cfRule>
  </conditionalFormatting>
  <conditionalFormatting sqref="AE28">
    <cfRule type="expression" dxfId="502" priority="414">
      <formula>$A28="PREVISTO"</formula>
    </cfRule>
  </conditionalFormatting>
  <conditionalFormatting sqref="AE28">
    <cfRule type="expression" dxfId="501" priority="413">
      <formula>$A28="REALIZADO"</formula>
    </cfRule>
  </conditionalFormatting>
  <conditionalFormatting sqref="AE29">
    <cfRule type="expression" dxfId="500" priority="412">
      <formula>$A29="PREVISTO"</formula>
    </cfRule>
  </conditionalFormatting>
  <conditionalFormatting sqref="AE29">
    <cfRule type="expression" dxfId="499" priority="411">
      <formula>$A29="REALIZADO"</formula>
    </cfRule>
  </conditionalFormatting>
  <conditionalFormatting sqref="AE10">
    <cfRule type="expression" dxfId="498" priority="406">
      <formula>$A10="PREVISTO"</formula>
    </cfRule>
  </conditionalFormatting>
  <conditionalFormatting sqref="AE10">
    <cfRule type="expression" dxfId="497" priority="405">
      <formula>$A10="REALIZADO"</formula>
    </cfRule>
  </conditionalFormatting>
  <conditionalFormatting sqref="AE4 AE6:AE7">
    <cfRule type="expression" dxfId="496" priority="410">
      <formula>$A4="PREVISTO"</formula>
    </cfRule>
  </conditionalFormatting>
  <conditionalFormatting sqref="AE4 AE6:AE7">
    <cfRule type="expression" dxfId="495" priority="409">
      <formula>$A4="REALIZADO"</formula>
    </cfRule>
  </conditionalFormatting>
  <conditionalFormatting sqref="AE5">
    <cfRule type="expression" dxfId="494" priority="408">
      <formula>$A5="PREVISTO"</formula>
    </cfRule>
  </conditionalFormatting>
  <conditionalFormatting sqref="AE5">
    <cfRule type="expression" dxfId="493" priority="407">
      <formula>$A5="REALIZADO"</formula>
    </cfRule>
  </conditionalFormatting>
  <conditionalFormatting sqref="AE8">
    <cfRule type="expression" dxfId="492" priority="404">
      <formula>$A8="PREVISTO"</formula>
    </cfRule>
  </conditionalFormatting>
  <conditionalFormatting sqref="AE8">
    <cfRule type="expression" dxfId="491" priority="403">
      <formula>$A8="REALIZADO"</formula>
    </cfRule>
  </conditionalFormatting>
  <conditionalFormatting sqref="AE9">
    <cfRule type="expression" dxfId="490" priority="402">
      <formula>$A9="PREVISTO"</formula>
    </cfRule>
  </conditionalFormatting>
  <conditionalFormatting sqref="AE9">
    <cfRule type="expression" dxfId="489" priority="401">
      <formula>$A9="REALIZADO"</formula>
    </cfRule>
  </conditionalFormatting>
  <conditionalFormatting sqref="AL24:AL26">
    <cfRule type="expression" dxfId="488" priority="400">
      <formula>$A24="PREVISTO"</formula>
    </cfRule>
  </conditionalFormatting>
  <conditionalFormatting sqref="AL24:AL26">
    <cfRule type="expression" dxfId="487" priority="399">
      <formula>$A24="REALIZADO"</formula>
    </cfRule>
  </conditionalFormatting>
  <conditionalFormatting sqref="AL5">
    <cfRule type="expression" dxfId="486" priority="392">
      <formula>$A5="PREVISTO"</formula>
    </cfRule>
  </conditionalFormatting>
  <conditionalFormatting sqref="AL5">
    <cfRule type="expression" dxfId="485" priority="391">
      <formula>$A5="REALIZADO"</formula>
    </cfRule>
  </conditionalFormatting>
  <conditionalFormatting sqref="AL3 AL13">
    <cfRule type="expression" dxfId="484" priority="398">
      <formula>$A3="PREVISTO"</formula>
    </cfRule>
  </conditionalFormatting>
  <conditionalFormatting sqref="AL13 AL3">
    <cfRule type="expression" dxfId="483" priority="397">
      <formula>$A3="REALIZADO"</formula>
    </cfRule>
  </conditionalFormatting>
  <conditionalFormatting sqref="AL7 AL4">
    <cfRule type="expression" dxfId="482" priority="396">
      <formula>$A4="PREVISTO"</formula>
    </cfRule>
  </conditionalFormatting>
  <conditionalFormatting sqref="AL7 AL4">
    <cfRule type="expression" dxfId="481" priority="395">
      <formula>$A4="REALIZADO"</formula>
    </cfRule>
  </conditionalFormatting>
  <conditionalFormatting sqref="AL6">
    <cfRule type="expression" dxfId="480" priority="394">
      <formula>$A6="PREVISTO"</formula>
    </cfRule>
  </conditionalFormatting>
  <conditionalFormatting sqref="AL6">
    <cfRule type="expression" dxfId="479" priority="393">
      <formula>$A6="REALIZADO"</formula>
    </cfRule>
  </conditionalFormatting>
  <conditionalFormatting sqref="AL10">
    <cfRule type="expression" dxfId="478" priority="390">
      <formula>$A10="PREVISTO"</formula>
    </cfRule>
  </conditionalFormatting>
  <conditionalFormatting sqref="AL10">
    <cfRule type="expression" dxfId="477" priority="389">
      <formula>$A10="REALIZADO"</formula>
    </cfRule>
  </conditionalFormatting>
  <conditionalFormatting sqref="AL8">
    <cfRule type="expression" dxfId="476" priority="388">
      <formula>$A8="PREVISTO"</formula>
    </cfRule>
  </conditionalFormatting>
  <conditionalFormatting sqref="AL8">
    <cfRule type="expression" dxfId="475" priority="387">
      <formula>$A8="REALIZADO"</formula>
    </cfRule>
  </conditionalFormatting>
  <conditionalFormatting sqref="AL14:AL15 AL21 AL17:AL18">
    <cfRule type="expression" dxfId="474" priority="386">
      <formula>$A14="PREVISTO"</formula>
    </cfRule>
  </conditionalFormatting>
  <conditionalFormatting sqref="AL14:AL15 AL21 AL17:AL18">
    <cfRule type="expression" dxfId="473" priority="385">
      <formula>$A14="REALIZADO"</formula>
    </cfRule>
  </conditionalFormatting>
  <conditionalFormatting sqref="AL19">
    <cfRule type="expression" dxfId="472" priority="384">
      <formula>$A19="PREVISTO"</formula>
    </cfRule>
  </conditionalFormatting>
  <conditionalFormatting sqref="AL19">
    <cfRule type="expression" dxfId="471" priority="383">
      <formula>$A19="REALIZADO"</formula>
    </cfRule>
  </conditionalFormatting>
  <conditionalFormatting sqref="AL23">
    <cfRule type="expression" dxfId="470" priority="382">
      <formula>$A23="PREVISTO"</formula>
    </cfRule>
  </conditionalFormatting>
  <conditionalFormatting sqref="AL23">
    <cfRule type="expression" dxfId="469" priority="381">
      <formula>$A23="REALIZADO"</formula>
    </cfRule>
  </conditionalFormatting>
  <conditionalFormatting sqref="AL27">
    <cfRule type="expression" dxfId="468" priority="380">
      <formula>$A27="PREVISTO"</formula>
    </cfRule>
  </conditionalFormatting>
  <conditionalFormatting sqref="AL27">
    <cfRule type="expression" dxfId="467" priority="379">
      <formula>$A27="REALIZADO"</formula>
    </cfRule>
  </conditionalFormatting>
  <conditionalFormatting sqref="AL9">
    <cfRule type="expression" dxfId="466" priority="378">
      <formula>$A9="PREVISTO"</formula>
    </cfRule>
  </conditionalFormatting>
  <conditionalFormatting sqref="AL9">
    <cfRule type="expression" dxfId="465" priority="377">
      <formula>$A9="REALIZADO"</formula>
    </cfRule>
  </conditionalFormatting>
  <conditionalFormatting sqref="AL16">
    <cfRule type="expression" dxfId="464" priority="376">
      <formula>$A16="PREVISTO"</formula>
    </cfRule>
  </conditionalFormatting>
  <conditionalFormatting sqref="AL16">
    <cfRule type="expression" dxfId="463" priority="375">
      <formula>$A16="REALIZADO"</formula>
    </cfRule>
  </conditionalFormatting>
  <conditionalFormatting sqref="AL20">
    <cfRule type="expression" dxfId="462" priority="374">
      <formula>$A20="PREVISTO"</formula>
    </cfRule>
  </conditionalFormatting>
  <conditionalFormatting sqref="AL20">
    <cfRule type="expression" dxfId="461" priority="373">
      <formula>$A20="REALIZADO"</formula>
    </cfRule>
  </conditionalFormatting>
  <conditionalFormatting sqref="AL22">
    <cfRule type="expression" dxfId="460" priority="372">
      <formula>$A22="PREVISTO"</formula>
    </cfRule>
  </conditionalFormatting>
  <conditionalFormatting sqref="AL22">
    <cfRule type="expression" dxfId="459" priority="371">
      <formula>$A22="REALIZADO"</formula>
    </cfRule>
  </conditionalFormatting>
  <conditionalFormatting sqref="AL30:AL33">
    <cfRule type="expression" dxfId="458" priority="370">
      <formula>$A30="PREVISTO"</formula>
    </cfRule>
  </conditionalFormatting>
  <conditionalFormatting sqref="AL30:AL33">
    <cfRule type="expression" dxfId="457" priority="369">
      <formula>$A30="REALIZADO"</formula>
    </cfRule>
  </conditionalFormatting>
  <conditionalFormatting sqref="AL28">
    <cfRule type="expression" dxfId="456" priority="368">
      <formula>$A28="PREVISTO"</formula>
    </cfRule>
  </conditionalFormatting>
  <conditionalFormatting sqref="AL28">
    <cfRule type="expression" dxfId="455" priority="367">
      <formula>$A28="REALIZADO"</formula>
    </cfRule>
  </conditionalFormatting>
  <conditionalFormatting sqref="AL29">
    <cfRule type="expression" dxfId="454" priority="366">
      <formula>$A29="PREVISTO"</formula>
    </cfRule>
  </conditionalFormatting>
  <conditionalFormatting sqref="AL29">
    <cfRule type="expression" dxfId="453" priority="365">
      <formula>$A29="REALIZADO"</formula>
    </cfRule>
  </conditionalFormatting>
  <conditionalFormatting sqref="AK24:AK26">
    <cfRule type="expression" dxfId="452" priority="364">
      <formula>$A24="PREVISTO"</formula>
    </cfRule>
  </conditionalFormatting>
  <conditionalFormatting sqref="AK24:AK26">
    <cfRule type="expression" dxfId="451" priority="363">
      <formula>$A24="REALIZADO"</formula>
    </cfRule>
  </conditionalFormatting>
  <conditionalFormatting sqref="AK10">
    <cfRule type="expression" dxfId="450" priority="358">
      <formula>$A10="PREVISTO"</formula>
    </cfRule>
  </conditionalFormatting>
  <conditionalFormatting sqref="AK10">
    <cfRule type="expression" dxfId="449" priority="357">
      <formula>$A10="REALIZADO"</formula>
    </cfRule>
  </conditionalFormatting>
  <conditionalFormatting sqref="AK14:AK15 AK21 AK17:AK18">
    <cfRule type="expression" dxfId="448" priority="354">
      <formula>$A14="PREVISTO"</formula>
    </cfRule>
  </conditionalFormatting>
  <conditionalFormatting sqref="AK14:AK15 AK21 AK17:AK18">
    <cfRule type="expression" dxfId="447" priority="353">
      <formula>$A14="REALIZADO"</formula>
    </cfRule>
  </conditionalFormatting>
  <conditionalFormatting sqref="AK3 AK13 AK6:AK7">
    <cfRule type="expression" dxfId="446" priority="362">
      <formula>$A3="PREVISTO"</formula>
    </cfRule>
  </conditionalFormatting>
  <conditionalFormatting sqref="AK13 AK3 AK6:AK7">
    <cfRule type="expression" dxfId="445" priority="361">
      <formula>$A3="REALIZADO"</formula>
    </cfRule>
  </conditionalFormatting>
  <conditionalFormatting sqref="AK5">
    <cfRule type="expression" dxfId="444" priority="360">
      <formula>$A5="PREVISTO"</formula>
    </cfRule>
  </conditionalFormatting>
  <conditionalFormatting sqref="AK5">
    <cfRule type="expression" dxfId="443" priority="359">
      <formula>$A5="REALIZADO"</formula>
    </cfRule>
  </conditionalFormatting>
  <conditionalFormatting sqref="AK8">
    <cfRule type="expression" dxfId="442" priority="356">
      <formula>$A8="PREVISTO"</formula>
    </cfRule>
  </conditionalFormatting>
  <conditionalFormatting sqref="AK8">
    <cfRule type="expression" dxfId="441" priority="355">
      <formula>$A8="REALIZADO"</formula>
    </cfRule>
  </conditionalFormatting>
  <conditionalFormatting sqref="AK19">
    <cfRule type="expression" dxfId="440" priority="352">
      <formula>$A19="PREVISTO"</formula>
    </cfRule>
  </conditionalFormatting>
  <conditionalFormatting sqref="AK19">
    <cfRule type="expression" dxfId="439" priority="351">
      <formula>$A19="REALIZADO"</formula>
    </cfRule>
  </conditionalFormatting>
  <conditionalFormatting sqref="AK23">
    <cfRule type="expression" dxfId="438" priority="350">
      <formula>$A23="PREVISTO"</formula>
    </cfRule>
  </conditionalFormatting>
  <conditionalFormatting sqref="AK23">
    <cfRule type="expression" dxfId="437" priority="349">
      <formula>$A23="REALIZADO"</formula>
    </cfRule>
  </conditionalFormatting>
  <conditionalFormatting sqref="AK27">
    <cfRule type="expression" dxfId="436" priority="348">
      <formula>$A27="PREVISTO"</formula>
    </cfRule>
  </conditionalFormatting>
  <conditionalFormatting sqref="AK27">
    <cfRule type="expression" dxfId="435" priority="347">
      <formula>$A27="REALIZADO"</formula>
    </cfRule>
  </conditionalFormatting>
  <conditionalFormatting sqref="AK9">
    <cfRule type="expression" dxfId="434" priority="346">
      <formula>$A9="PREVISTO"</formula>
    </cfRule>
  </conditionalFormatting>
  <conditionalFormatting sqref="AK9">
    <cfRule type="expression" dxfId="433" priority="345">
      <formula>$A9="REALIZADO"</formula>
    </cfRule>
  </conditionalFormatting>
  <conditionalFormatting sqref="AK16">
    <cfRule type="expression" dxfId="432" priority="344">
      <formula>$A16="PREVISTO"</formula>
    </cfRule>
  </conditionalFormatting>
  <conditionalFormatting sqref="AK16">
    <cfRule type="expression" dxfId="431" priority="343">
      <formula>$A16="REALIZADO"</formula>
    </cfRule>
  </conditionalFormatting>
  <conditionalFormatting sqref="AK20">
    <cfRule type="expression" dxfId="430" priority="342">
      <formula>$A20="PREVISTO"</formula>
    </cfRule>
  </conditionalFormatting>
  <conditionalFormatting sqref="AK20">
    <cfRule type="expression" dxfId="429" priority="341">
      <formula>$A20="REALIZADO"</formula>
    </cfRule>
  </conditionalFormatting>
  <conditionalFormatting sqref="AK22">
    <cfRule type="expression" dxfId="428" priority="340">
      <formula>$A22="PREVISTO"</formula>
    </cfRule>
  </conditionalFormatting>
  <conditionalFormatting sqref="AK22">
    <cfRule type="expression" dxfId="427" priority="339">
      <formula>$A22="REALIZADO"</formula>
    </cfRule>
  </conditionalFormatting>
  <conditionalFormatting sqref="AK30:AK33">
    <cfRule type="expression" dxfId="426" priority="338">
      <formula>$A30="PREVISTO"</formula>
    </cfRule>
  </conditionalFormatting>
  <conditionalFormatting sqref="AK30:AK33">
    <cfRule type="expression" dxfId="425" priority="337">
      <formula>$A30="REALIZADO"</formula>
    </cfRule>
  </conditionalFormatting>
  <conditionalFormatting sqref="AK28">
    <cfRule type="expression" dxfId="424" priority="336">
      <formula>$A28="PREVISTO"</formula>
    </cfRule>
  </conditionalFormatting>
  <conditionalFormatting sqref="AK28">
    <cfRule type="expression" dxfId="423" priority="335">
      <formula>$A28="REALIZADO"</formula>
    </cfRule>
  </conditionalFormatting>
  <conditionalFormatting sqref="AK29">
    <cfRule type="expression" dxfId="422" priority="334">
      <formula>$A29="PREVISTO"</formula>
    </cfRule>
  </conditionalFormatting>
  <conditionalFormatting sqref="AK29">
    <cfRule type="expression" dxfId="421" priority="333">
      <formula>$A29="REALIZADO"</formula>
    </cfRule>
  </conditionalFormatting>
  <conditionalFormatting sqref="F26">
    <cfRule type="expression" dxfId="420" priority="332">
      <formula>$A26="PREVISTO"</formula>
    </cfRule>
  </conditionalFormatting>
  <conditionalFormatting sqref="F26">
    <cfRule type="expression" dxfId="419" priority="331">
      <formula>$A26="REALIZADO"</formula>
    </cfRule>
  </conditionalFormatting>
  <conditionalFormatting sqref="F28">
    <cfRule type="expression" dxfId="418" priority="330">
      <formula>$A28="PREVISTO"</formula>
    </cfRule>
  </conditionalFormatting>
  <conditionalFormatting sqref="F28">
    <cfRule type="expression" dxfId="417" priority="329">
      <formula>$A28="REALIZADO"</formula>
    </cfRule>
  </conditionalFormatting>
  <conditionalFormatting sqref="A17:E17">
    <cfRule type="expression" dxfId="416" priority="328">
      <formula>$A17="PREVISTO"</formula>
    </cfRule>
  </conditionalFormatting>
  <conditionalFormatting sqref="A17:E17">
    <cfRule type="expression" dxfId="415" priority="327">
      <formula>$A17="REALIZADO"</formula>
    </cfRule>
  </conditionalFormatting>
  <conditionalFormatting sqref="F17">
    <cfRule type="expression" dxfId="414" priority="326">
      <formula>$A17="PREVISTO"</formula>
    </cfRule>
  </conditionalFormatting>
  <conditionalFormatting sqref="F17">
    <cfRule type="expression" dxfId="413" priority="325">
      <formula>$A17="REALIZADO"</formula>
    </cfRule>
  </conditionalFormatting>
  <conditionalFormatting sqref="G17:H17">
    <cfRule type="expression" dxfId="412" priority="324">
      <formula>$A17="PREVISTO"</formula>
    </cfRule>
  </conditionalFormatting>
  <conditionalFormatting sqref="G17:H17">
    <cfRule type="expression" dxfId="411" priority="323">
      <formula>$A17="REALIZADO"</formula>
    </cfRule>
  </conditionalFormatting>
  <conditionalFormatting sqref="A18:E18">
    <cfRule type="expression" dxfId="410" priority="322">
      <formula>$A18="PREVISTO"</formula>
    </cfRule>
  </conditionalFormatting>
  <conditionalFormatting sqref="A18:E18">
    <cfRule type="expression" dxfId="409" priority="321">
      <formula>$A18="REALIZADO"</formula>
    </cfRule>
  </conditionalFormatting>
  <conditionalFormatting sqref="F18">
    <cfRule type="expression" dxfId="408" priority="320">
      <formula>$A18="PREVISTO"</formula>
    </cfRule>
  </conditionalFormatting>
  <conditionalFormatting sqref="F18">
    <cfRule type="expression" dxfId="407" priority="319">
      <formula>$A18="REALIZADO"</formula>
    </cfRule>
  </conditionalFormatting>
  <conditionalFormatting sqref="G18:H18">
    <cfRule type="expression" dxfId="406" priority="318">
      <formula>$A18="PREVISTO"</formula>
    </cfRule>
  </conditionalFormatting>
  <conditionalFormatting sqref="G18:H18">
    <cfRule type="expression" dxfId="405" priority="317">
      <formula>$A18="REALIZADO"</formula>
    </cfRule>
  </conditionalFormatting>
  <conditionalFormatting sqref="A21:E21">
    <cfRule type="expression" dxfId="404" priority="316">
      <formula>$A21="PREVISTO"</formula>
    </cfRule>
  </conditionalFormatting>
  <conditionalFormatting sqref="A21:E21">
    <cfRule type="expression" dxfId="403" priority="315">
      <formula>$A21="REALIZADO"</formula>
    </cfRule>
  </conditionalFormatting>
  <conditionalFormatting sqref="F21">
    <cfRule type="expression" dxfId="402" priority="314">
      <formula>$A21="PREVISTO"</formula>
    </cfRule>
  </conditionalFormatting>
  <conditionalFormatting sqref="F21">
    <cfRule type="expression" dxfId="401" priority="313">
      <formula>$A21="REALIZADO"</formula>
    </cfRule>
  </conditionalFormatting>
  <conditionalFormatting sqref="G21:H21">
    <cfRule type="expression" dxfId="400" priority="312">
      <formula>$A21="PREVISTO"</formula>
    </cfRule>
  </conditionalFormatting>
  <conditionalFormatting sqref="G21:H21">
    <cfRule type="expression" dxfId="399" priority="311">
      <formula>$A21="REALIZADO"</formula>
    </cfRule>
  </conditionalFormatting>
  <conditionalFormatting sqref="A22:H22">
    <cfRule type="expression" dxfId="398" priority="310">
      <formula>$A22="PREVISTO"</formula>
    </cfRule>
  </conditionalFormatting>
  <conditionalFormatting sqref="A22:H22">
    <cfRule type="expression" dxfId="397" priority="309">
      <formula>$A22="REALIZADO"</formula>
    </cfRule>
  </conditionalFormatting>
  <conditionalFormatting sqref="A33:H33">
    <cfRule type="expression" dxfId="396" priority="306">
      <formula>$A33="PREVISTO"</formula>
    </cfRule>
  </conditionalFormatting>
  <conditionalFormatting sqref="G34:H35">
    <cfRule type="expression" dxfId="395" priority="234">
      <formula>$A34="PREVISTO"</formula>
    </cfRule>
  </conditionalFormatting>
  <conditionalFormatting sqref="G34:H35">
    <cfRule type="expression" dxfId="394" priority="233">
      <formula>$A34="REALIZADO"</formula>
    </cfRule>
  </conditionalFormatting>
  <conditionalFormatting sqref="A34:F35">
    <cfRule type="expression" dxfId="393" priority="236">
      <formula>$A34="PREVISTO"</formula>
    </cfRule>
  </conditionalFormatting>
  <conditionalFormatting sqref="A34:F35">
    <cfRule type="expression" dxfId="392" priority="235">
      <formula>$A34="REALIZADO"</formula>
    </cfRule>
  </conditionalFormatting>
  <conditionalFormatting sqref="J34:J35">
    <cfRule type="expression" dxfId="391" priority="230">
      <formula>$A34="PREVISTO"</formula>
    </cfRule>
  </conditionalFormatting>
  <conditionalFormatting sqref="J34:J35">
    <cfRule type="expression" dxfId="390" priority="229">
      <formula>$A34="REALIZADO"</formula>
    </cfRule>
  </conditionalFormatting>
  <conditionalFormatting sqref="I34:I35">
    <cfRule type="expression" dxfId="389" priority="232">
      <formula>$A34="PREVISTO"</formula>
    </cfRule>
  </conditionalFormatting>
  <conditionalFormatting sqref="I34:I35">
    <cfRule type="expression" dxfId="388" priority="231">
      <formula>$A34="REALIZADO"</formula>
    </cfRule>
  </conditionalFormatting>
  <conditionalFormatting sqref="K34:K35">
    <cfRule type="expression" dxfId="387" priority="222">
      <formula>$A34="PREVISTO"</formula>
    </cfRule>
  </conditionalFormatting>
  <conditionalFormatting sqref="K34:K35">
    <cfRule type="expression" dxfId="386" priority="221">
      <formula>$A34="REALIZADO"</formula>
    </cfRule>
  </conditionalFormatting>
  <conditionalFormatting sqref="L34:L35">
    <cfRule type="expression" dxfId="385" priority="224">
      <formula>$A34="PREVISTO"</formula>
    </cfRule>
  </conditionalFormatting>
  <conditionalFormatting sqref="L34:L35">
    <cfRule type="expression" dxfId="384" priority="223">
      <formula>$A34="REALIZADO"</formula>
    </cfRule>
  </conditionalFormatting>
  <conditionalFormatting sqref="N34:N35">
    <cfRule type="expression" dxfId="383" priority="228">
      <formula>$A34="PREVISTO"</formula>
    </cfRule>
  </conditionalFormatting>
  <conditionalFormatting sqref="N34:N35">
    <cfRule type="expression" dxfId="382" priority="227">
      <formula>$A34="REALIZADO"</formula>
    </cfRule>
  </conditionalFormatting>
  <conditionalFormatting sqref="M34:M35">
    <cfRule type="expression" dxfId="381" priority="226">
      <formula>$A34="PREVISTO"</formula>
    </cfRule>
  </conditionalFormatting>
  <conditionalFormatting sqref="M34:M35">
    <cfRule type="expression" dxfId="380" priority="225">
      <formula>$A34="REALIZADO"</formula>
    </cfRule>
  </conditionalFormatting>
  <conditionalFormatting sqref="P34:P35 V34:V35 AB34:AB35 AN34:AN35 AT34:AT35 AZ34:AZ35 BF34:BF35 BL34:BL35 BR34:BR35 BX34:BX35">
    <cfRule type="expression" dxfId="379" priority="218">
      <formula>$A34="PREVISTO"</formula>
    </cfRule>
  </conditionalFormatting>
  <conditionalFormatting sqref="P34:P35 V34:V35 AB34:AB35 AN34:AN35 AT34:AT35 AZ34:AZ35 BF34:BF35 BL34:BL35 BR34:BR35 BX34:BX35">
    <cfRule type="expression" dxfId="378" priority="217">
      <formula>$A34="REALIZADO"</formula>
    </cfRule>
  </conditionalFormatting>
  <conditionalFormatting sqref="O34:O35 U34:U35 AA34:AA35 AM34:AM35 AS34:AS35 AY34:AY35 BE34:BE35 BK34:BK35 BQ34:BQ35 BW34:BW35">
    <cfRule type="expression" dxfId="377" priority="220">
      <formula>$A34="PREVISTO"</formula>
    </cfRule>
  </conditionalFormatting>
  <conditionalFormatting sqref="O34:O35 U34:U35 AA34:AA35 AM34:AM35 AS34:AS35 AY34:AY35 BE34:BE35 BK34:BK35 BQ34:BQ35 BW34:BW35">
    <cfRule type="expression" dxfId="376" priority="219">
      <formula>$A34="REALIZADO"</formula>
    </cfRule>
  </conditionalFormatting>
  <conditionalFormatting sqref="T34:T35 Z34:Z35 AR34:AR35 AX34:AX35 BD34:BD35 BJ34:BJ35 BP34:BP35 BV34:BV35 CB34:CB35">
    <cfRule type="expression" dxfId="375" priority="216">
      <formula>$A34="PREVISTO"</formula>
    </cfRule>
  </conditionalFormatting>
  <conditionalFormatting sqref="T34:T35 Z34:Z35 AR34:AR35 AX34:AX35 BD34:BD35 BJ34:BJ35 BP34:BP35 BV34:BV35 CB34:CB35">
    <cfRule type="expression" dxfId="374" priority="215">
      <formula>$A34="REALIZADO"</formula>
    </cfRule>
  </conditionalFormatting>
  <conditionalFormatting sqref="S34:S35 Y34:Y35 AQ34:AQ35 AW34:AW35 BC34:BC35 BI34:BI35 BO34:BO35 BU34:BU35 CA34:CA35">
    <cfRule type="expression" dxfId="373" priority="214">
      <formula>$A34="PREVISTO"</formula>
    </cfRule>
  </conditionalFormatting>
  <conditionalFormatting sqref="S34:S35 Y34:Y35 AQ34:AQ35 AW34:AW35 BC34:BC35 BI34:BI35 BO34:BO35 BU34:BU35 CA34:CA35">
    <cfRule type="expression" dxfId="372" priority="213">
      <formula>$A34="REALIZADO"</formula>
    </cfRule>
  </conditionalFormatting>
  <conditionalFormatting sqref="R34:R35 X34:X35 AD34:AD35 AP34:AP35 AV34:AV35 BB34:BB35 BH34:BH35 BN34:BN35 BT34:BT35 BZ34:BZ35">
    <cfRule type="expression" dxfId="371" priority="212">
      <formula>$A34="PREVISTO"</formula>
    </cfRule>
  </conditionalFormatting>
  <conditionalFormatting sqref="R34:R35 X34:X35 AD34:AD35 AP34:AP35 AV34:AV35 BB34:BB35 BH34:BH35 BN34:BN35 BT34:BT35 BZ34:BZ35">
    <cfRule type="expression" dxfId="370" priority="211">
      <formula>$A34="REALIZADO"</formula>
    </cfRule>
  </conditionalFormatting>
  <conditionalFormatting sqref="Q34:Q35 AC34:AC35 AO34:AO35 AU34:AU35 BA34:BA35 BG34:BG35 BM34:BM35 BS34:BS35 BY34:BY35 W34:W35">
    <cfRule type="expression" dxfId="369" priority="210">
      <formula>$A34="PREVISTO"</formula>
    </cfRule>
  </conditionalFormatting>
  <conditionalFormatting sqref="Q34:Q35 AC34:AC35 AO34:AO35 AU34:AU35 BA34:BA35 BG34:BG35 BM34:BM35 BS34:BS35 BY34:BY35 W34:W35">
    <cfRule type="expression" dxfId="368" priority="209">
      <formula>$A34="REALIZADO"</formula>
    </cfRule>
  </conditionalFormatting>
  <conditionalFormatting sqref="AE34">
    <cfRule type="expression" dxfId="367" priority="200">
      <formula>$A34="PREVISTO"</formula>
    </cfRule>
  </conditionalFormatting>
  <conditionalFormatting sqref="AE34">
    <cfRule type="expression" dxfId="366" priority="199">
      <formula>$A34="REALIZADO"</formula>
    </cfRule>
  </conditionalFormatting>
  <conditionalFormatting sqref="AF34">
    <cfRule type="expression" dxfId="365" priority="202">
      <formula>$A34="PREVISTO"</formula>
    </cfRule>
  </conditionalFormatting>
  <conditionalFormatting sqref="AF34">
    <cfRule type="expression" dxfId="364" priority="201">
      <formula>$A34="REALIZADO"</formula>
    </cfRule>
  </conditionalFormatting>
  <conditionalFormatting sqref="AE35">
    <cfRule type="expression" dxfId="363" priority="196">
      <formula>$A35="PREVISTO"</formula>
    </cfRule>
  </conditionalFormatting>
  <conditionalFormatting sqref="AE35">
    <cfRule type="expression" dxfId="362" priority="195">
      <formula>$A35="REALIZADO"</formula>
    </cfRule>
  </conditionalFormatting>
  <conditionalFormatting sqref="AF35">
    <cfRule type="expression" dxfId="361" priority="198">
      <formula>$A35="PREVISTO"</formula>
    </cfRule>
  </conditionalFormatting>
  <conditionalFormatting sqref="AF35">
    <cfRule type="expression" dxfId="360" priority="197">
      <formula>$A35="REALIZADO"</formula>
    </cfRule>
  </conditionalFormatting>
  <conditionalFormatting sqref="AI34:AI35">
    <cfRule type="expression" dxfId="359" priority="188">
      <formula>$A34="PREVISTO"</formula>
    </cfRule>
  </conditionalFormatting>
  <conditionalFormatting sqref="AI34:AI35">
    <cfRule type="expression" dxfId="358" priority="187">
      <formula>$A34="REALIZADO"</formula>
    </cfRule>
  </conditionalFormatting>
  <conditionalFormatting sqref="AJ34:AJ35">
    <cfRule type="expression" dxfId="357" priority="190">
      <formula>$A34="PREVISTO"</formula>
    </cfRule>
  </conditionalFormatting>
  <conditionalFormatting sqref="AJ34:AJ35">
    <cfRule type="expression" dxfId="356" priority="189">
      <formula>$A34="REALIZADO"</formula>
    </cfRule>
  </conditionalFormatting>
  <conditionalFormatting sqref="AG34:AG35">
    <cfRule type="expression" dxfId="355" priority="194">
      <formula>$A34="PREVISTO"</formula>
    </cfRule>
  </conditionalFormatting>
  <conditionalFormatting sqref="AG34:AG35">
    <cfRule type="expression" dxfId="354" priority="193">
      <formula>$A34="REALIZADO"</formula>
    </cfRule>
  </conditionalFormatting>
  <conditionalFormatting sqref="AH34:AH35">
    <cfRule type="expression" dxfId="353" priority="192">
      <formula>$A34="PREVISTO"</formula>
    </cfRule>
  </conditionalFormatting>
  <conditionalFormatting sqref="AH34:AH35">
    <cfRule type="expression" dxfId="352" priority="191">
      <formula>$A34="REALIZADO"</formula>
    </cfRule>
  </conditionalFormatting>
  <conditionalFormatting sqref="AK34">
    <cfRule type="expression" dxfId="351" priority="184">
      <formula>$A34="PREVISTO"</formula>
    </cfRule>
  </conditionalFormatting>
  <conditionalFormatting sqref="AK34">
    <cfRule type="expression" dxfId="350" priority="183">
      <formula>$A34="REALIZADO"</formula>
    </cfRule>
  </conditionalFormatting>
  <conditionalFormatting sqref="AL34">
    <cfRule type="expression" dxfId="349" priority="186">
      <formula>$A34="PREVISTO"</formula>
    </cfRule>
  </conditionalFormatting>
  <conditionalFormatting sqref="AL34">
    <cfRule type="expression" dxfId="348" priority="185">
      <formula>$A34="REALIZADO"</formula>
    </cfRule>
  </conditionalFormatting>
  <conditionalFormatting sqref="AL35">
    <cfRule type="expression" dxfId="347" priority="182">
      <formula>$A35="PREVISTO"</formula>
    </cfRule>
  </conditionalFormatting>
  <conditionalFormatting sqref="AL35">
    <cfRule type="expression" dxfId="346" priority="181">
      <formula>$A35="REALIZADO"</formula>
    </cfRule>
  </conditionalFormatting>
  <conditionalFormatting sqref="AK35">
    <cfRule type="expression" dxfId="345" priority="180">
      <formula>$A35="PREVISTO"</formula>
    </cfRule>
  </conditionalFormatting>
  <conditionalFormatting sqref="AK35">
    <cfRule type="expression" dxfId="344" priority="179">
      <formula>$A35="REALIZADO"</formula>
    </cfRule>
  </conditionalFormatting>
  <conditionalFormatting sqref="AK4">
    <cfRule type="expression" dxfId="343" priority="178">
      <formula>$A4="PREVISTO"</formula>
    </cfRule>
  </conditionalFormatting>
  <conditionalFormatting sqref="AK4">
    <cfRule type="expression" dxfId="342" priority="177">
      <formula>$A4="REALIZADO"</formula>
    </cfRule>
  </conditionalFormatting>
  <conditionalFormatting sqref="E11:H12">
    <cfRule type="expression" dxfId="341" priority="176">
      <formula>$A11="PREVISTO"</formula>
    </cfRule>
  </conditionalFormatting>
  <conditionalFormatting sqref="E11:H12">
    <cfRule type="expression" dxfId="340" priority="175">
      <formula>$A11="REALIZADO"</formula>
    </cfRule>
  </conditionalFormatting>
  <conditionalFormatting sqref="A11:D12">
    <cfRule type="expression" dxfId="339" priority="174">
      <formula>$A11="PREVISTO"</formula>
    </cfRule>
  </conditionalFormatting>
  <conditionalFormatting sqref="A11:D12">
    <cfRule type="expression" dxfId="338" priority="173">
      <formula>$A11="REALIZADO"</formula>
    </cfRule>
  </conditionalFormatting>
  <conditionalFormatting sqref="I11:I12">
    <cfRule type="expression" dxfId="337" priority="172">
      <formula>$A11="PREVISTO"</formula>
    </cfRule>
  </conditionalFormatting>
  <conditionalFormatting sqref="I11:I12">
    <cfRule type="expression" dxfId="336" priority="171">
      <formula>$A11="REALIZADO"</formula>
    </cfRule>
  </conditionalFormatting>
  <conditionalFormatting sqref="L11:L12 N11:N12">
    <cfRule type="expression" dxfId="335" priority="170">
      <formula>$A11="PREVISTO"</formula>
    </cfRule>
  </conditionalFormatting>
  <conditionalFormatting sqref="L11:L12 N11:N12">
    <cfRule type="expression" dxfId="334" priority="169">
      <formula>$A11="REALIZADO"</formula>
    </cfRule>
  </conditionalFormatting>
  <conditionalFormatting sqref="K11:K12">
    <cfRule type="expression" dxfId="333" priority="168">
      <formula>$A11="PREVISTO"</formula>
    </cfRule>
  </conditionalFormatting>
  <conditionalFormatting sqref="K11:K12">
    <cfRule type="expression" dxfId="332" priority="167">
      <formula>$A11="REALIZADO"</formula>
    </cfRule>
  </conditionalFormatting>
  <conditionalFormatting sqref="M11:M12">
    <cfRule type="expression" dxfId="331" priority="166">
      <formula>$A11="PREVISTO"</formula>
    </cfRule>
  </conditionalFormatting>
  <conditionalFormatting sqref="M11:M12">
    <cfRule type="expression" dxfId="330" priority="165">
      <formula>$A11="REALIZADO"</formula>
    </cfRule>
  </conditionalFormatting>
  <conditionalFormatting sqref="J11:J12">
    <cfRule type="expression" dxfId="329" priority="163">
      <formula>$A11="REALIZADO"</formula>
    </cfRule>
  </conditionalFormatting>
  <conditionalFormatting sqref="J11:J12">
    <cfRule type="expression" dxfId="328" priority="164">
      <formula>$A11="PREVISTO"</formula>
    </cfRule>
  </conditionalFormatting>
  <conditionalFormatting sqref="O11:O12 U11:U12 AA11:AA12 AG11:AG12 AM11 AS11:AS12 AY11:AY12 BE11:BE12 BK11:BK12 BQ11:BQ12 BW11:BW12">
    <cfRule type="expression" dxfId="327" priority="162">
      <formula>$A11="PREVISTO"</formula>
    </cfRule>
  </conditionalFormatting>
  <conditionalFormatting sqref="O11:O12 U11:U12 AA11:AA12 AG11:AG12 AM11 AS11:AS12 AY11:AY12 BE11:BE12 BK11:BK12 BQ11:BQ12 BW11:BW12">
    <cfRule type="expression" dxfId="326" priority="161">
      <formula>$A11="REALIZADO"</formula>
    </cfRule>
  </conditionalFormatting>
  <conditionalFormatting sqref="R11:R12 X11:X12 AD11:AD12 AJ11:AJ12 AP11:AP12 AV11:AV12 BB11:BB12 BH11:BH12 BN11:BN12 BT11:BT12 BZ11:BZ12 T11:T12 Z11:Z12 AF11:AF12 AR11:AR12 AX11:AX12 BD11:BD12 BJ11:BJ12 BP11:BP12 BV11:BV12 CB11:CB12">
    <cfRule type="expression" dxfId="325" priority="160">
      <formula>$A11="PREVISTO"</formula>
    </cfRule>
  </conditionalFormatting>
  <conditionalFormatting sqref="R11:R12 X11:X12 AD11:AD12 AJ11:AJ12 AP11:AP12 AV11:AV12 BB11:BB12 BH11:BH12 BN11:BN12 BT11:BT12 BZ11:BZ12 T11:T12 Z11:Z12 AF11:AF12 AR11:AR12 AX11:AX12 BD11:BD12 BJ11:BJ12 BP11:BP12 BV11:BV12 CB11:CB12">
    <cfRule type="expression" dxfId="324" priority="159">
      <formula>$A11="REALIZADO"</formula>
    </cfRule>
  </conditionalFormatting>
  <conditionalFormatting sqref="Q11:Q12 W11:W12 AC11:AC12 AI11:AI12 AO11:AO12 AU11:AU12 BA11:BA12 BG11:BG12 BM11:BM12 BS11:BS12 BY11:BY12">
    <cfRule type="expression" dxfId="323" priority="158">
      <formula>$A11="PREVISTO"</formula>
    </cfRule>
  </conditionalFormatting>
  <conditionalFormatting sqref="Q11:Q12 W11:W12 AC11:AC12 AI11:AI12 AO11:AO12 AU11:AU12 BA11:BA12 BG11:BG12 BM11:BM12 BS11:BS12 BY11:BY12">
    <cfRule type="expression" dxfId="322" priority="157">
      <formula>$A11="REALIZADO"</formula>
    </cfRule>
  </conditionalFormatting>
  <conditionalFormatting sqref="S11:S12 Y11:Y12 AQ11:AQ12 AW11:AW12 BC11:BC12 BI11:BI12 BO11:BO12 BU11:BU12 CA11:CA12">
    <cfRule type="expression" dxfId="321" priority="156">
      <formula>$A11="PREVISTO"</formula>
    </cfRule>
  </conditionalFormatting>
  <conditionalFormatting sqref="S11:S12 Y11:Y12 AQ11:AQ12 AW11:AW12 BC11:BC12 BI11:BI12 BO11:BO12 BU11:BU12 CA11:CA12">
    <cfRule type="expression" dxfId="320" priority="155">
      <formula>$A11="REALIZADO"</formula>
    </cfRule>
  </conditionalFormatting>
  <conditionalFormatting sqref="P11:P12 V11:V12 AB11:AB12 AH11:AH12 AN11:AN12 AT11:AT12 AZ11:AZ12 BF11:BF12 BL11:BL12 BR11:BR12 BX11:BX12">
    <cfRule type="expression" dxfId="319" priority="153">
      <formula>$A11="REALIZADO"</formula>
    </cfRule>
  </conditionalFormatting>
  <conditionalFormatting sqref="P11:P12 V11:V12 AB11:AB12 AH11:AH12 AN11:AN12 AT11:AT12 AZ11:AZ12 BF11:BF12 BL11:BL12 BR11:BR12 BX11:BX12">
    <cfRule type="expression" dxfId="318" priority="154">
      <formula>$A11="PREVISTO"</formula>
    </cfRule>
  </conditionalFormatting>
  <conditionalFormatting sqref="AE11:AE12">
    <cfRule type="expression" dxfId="317" priority="152">
      <formula>$A11="PREVISTO"</formula>
    </cfRule>
  </conditionalFormatting>
  <conditionalFormatting sqref="AE11:AE12">
    <cfRule type="expression" dxfId="316" priority="151">
      <formula>$A11="REALIZADO"</formula>
    </cfRule>
  </conditionalFormatting>
  <conditionalFormatting sqref="AL11:AL12">
    <cfRule type="expression" dxfId="315" priority="150">
      <formula>$A11="PREVISTO"</formula>
    </cfRule>
  </conditionalFormatting>
  <conditionalFormatting sqref="AL11:AL12">
    <cfRule type="expression" dxfId="314" priority="149">
      <formula>$A11="REALIZADO"</formula>
    </cfRule>
  </conditionalFormatting>
  <conditionalFormatting sqref="AK11:AK12">
    <cfRule type="expression" dxfId="313" priority="148">
      <formula>$A11="PREVISTO"</formula>
    </cfRule>
  </conditionalFormatting>
  <conditionalFormatting sqref="AK11:AK12">
    <cfRule type="expression" dxfId="312" priority="147">
      <formula>$A11="REALIZADO"</formula>
    </cfRule>
  </conditionalFormatting>
  <conditionalFormatting sqref="AM12">
    <cfRule type="expression" dxfId="311" priority="144">
      <formula>$A12="PREVISTO"</formula>
    </cfRule>
  </conditionalFormatting>
  <conditionalFormatting sqref="AM12">
    <cfRule type="expression" dxfId="310" priority="143">
      <formula>$A12="REALIZADO"</formula>
    </cfRule>
  </conditionalFormatting>
  <conditionalFormatting sqref="A10:E10">
    <cfRule type="expression" dxfId="309" priority="142">
      <formula>$A10="PREVISTO"</formula>
    </cfRule>
  </conditionalFormatting>
  <conditionalFormatting sqref="A10:E10">
    <cfRule type="expression" dxfId="308" priority="141">
      <formula>$A10="REALIZADO"</formula>
    </cfRule>
  </conditionalFormatting>
  <conditionalFormatting sqref="F10">
    <cfRule type="expression" dxfId="307" priority="140">
      <formula>$A10="PREVISTO"</formula>
    </cfRule>
  </conditionalFormatting>
  <conditionalFormatting sqref="F10">
    <cfRule type="expression" dxfId="306" priority="139">
      <formula>$A10="REALIZADO"</formula>
    </cfRule>
  </conditionalFormatting>
  <conditionalFormatting sqref="G10:H10">
    <cfRule type="expression" dxfId="305" priority="138">
      <formula>$A10="PREVISTO"</formula>
    </cfRule>
  </conditionalFormatting>
  <conditionalFormatting sqref="G10:H10">
    <cfRule type="expression" dxfId="304" priority="137">
      <formula>$A10="REALIZADO"</formula>
    </cfRule>
  </conditionalFormatting>
  <conditionalFormatting sqref="AR10">
    <cfRule type="expression" dxfId="303" priority="136">
      <formula>$A10="PREVISTO"</formula>
    </cfRule>
  </conditionalFormatting>
  <conditionalFormatting sqref="AR10">
    <cfRule type="expression" dxfId="302" priority="135">
      <formula>$A10="REALIZADO"</formula>
    </cfRule>
  </conditionalFormatting>
  <conditionalFormatting sqref="AQ10">
    <cfRule type="expression" dxfId="301" priority="134">
      <formula>$A10="PREVISTO"</formula>
    </cfRule>
  </conditionalFormatting>
  <conditionalFormatting sqref="AQ10">
    <cfRule type="expression" dxfId="300" priority="133">
      <formula>$A10="REALIZADO"</formula>
    </cfRule>
  </conditionalFormatting>
  <conditionalFormatting sqref="G36:H36">
    <cfRule type="expression" dxfId="299" priority="130">
      <formula>$A36="PREVISTO"</formula>
    </cfRule>
  </conditionalFormatting>
  <conditionalFormatting sqref="G36:H36">
    <cfRule type="expression" dxfId="298" priority="129">
      <formula>$A36="REALIZADO"</formula>
    </cfRule>
  </conditionalFormatting>
  <conditionalFormatting sqref="A36:F36">
    <cfRule type="expression" dxfId="297" priority="132">
      <formula>$A36="PREVISTO"</formula>
    </cfRule>
  </conditionalFormatting>
  <conditionalFormatting sqref="A36:F36">
    <cfRule type="expression" dxfId="296" priority="131">
      <formula>$A36="REALIZADO"</formula>
    </cfRule>
  </conditionalFormatting>
  <conditionalFormatting sqref="J36">
    <cfRule type="expression" dxfId="295" priority="126">
      <formula>$A36="PREVISTO"</formula>
    </cfRule>
  </conditionalFormatting>
  <conditionalFormatting sqref="J36">
    <cfRule type="expression" dxfId="294" priority="125">
      <formula>$A36="REALIZADO"</formula>
    </cfRule>
  </conditionalFormatting>
  <conditionalFormatting sqref="I36">
    <cfRule type="expression" dxfId="293" priority="128">
      <formula>$A36="PREVISTO"</formula>
    </cfRule>
  </conditionalFormatting>
  <conditionalFormatting sqref="I36">
    <cfRule type="expression" dxfId="292" priority="127">
      <formula>$A36="REALIZADO"</formula>
    </cfRule>
  </conditionalFormatting>
  <conditionalFormatting sqref="K36">
    <cfRule type="expression" dxfId="291" priority="118">
      <formula>$A36="PREVISTO"</formula>
    </cfRule>
  </conditionalFormatting>
  <conditionalFormatting sqref="K36">
    <cfRule type="expression" dxfId="290" priority="117">
      <formula>$A36="REALIZADO"</formula>
    </cfRule>
  </conditionalFormatting>
  <conditionalFormatting sqref="L36">
    <cfRule type="expression" dxfId="289" priority="120">
      <formula>$A36="PREVISTO"</formula>
    </cfRule>
  </conditionalFormatting>
  <conditionalFormatting sqref="L36">
    <cfRule type="expression" dxfId="288" priority="119">
      <formula>$A36="REALIZADO"</formula>
    </cfRule>
  </conditionalFormatting>
  <conditionalFormatting sqref="N36">
    <cfRule type="expression" dxfId="287" priority="124">
      <formula>$A36="PREVISTO"</formula>
    </cfRule>
  </conditionalFormatting>
  <conditionalFormatting sqref="N36">
    <cfRule type="expression" dxfId="286" priority="123">
      <formula>$A36="REALIZADO"</formula>
    </cfRule>
  </conditionalFormatting>
  <conditionalFormatting sqref="M36">
    <cfRule type="expression" dxfId="285" priority="122">
      <formula>$A36="PREVISTO"</formula>
    </cfRule>
  </conditionalFormatting>
  <conditionalFormatting sqref="M36">
    <cfRule type="expression" dxfId="284" priority="121">
      <formula>$A36="REALIZADO"</formula>
    </cfRule>
  </conditionalFormatting>
  <conditionalFormatting sqref="P36 V36 AB36 AN36 AT36 AZ36 BF36 BL36 BR36 BX36">
    <cfRule type="expression" dxfId="283" priority="114">
      <formula>$A36="PREVISTO"</formula>
    </cfRule>
  </conditionalFormatting>
  <conditionalFormatting sqref="P36 V36 AB36 AN36 AT36 AZ36 BF36 BL36 BR36 BX36">
    <cfRule type="expression" dxfId="282" priority="113">
      <formula>$A36="REALIZADO"</formula>
    </cfRule>
  </conditionalFormatting>
  <conditionalFormatting sqref="O36 U36 AA36 AM36 AS36 AY36 BE36 BK36 BQ36 BW36">
    <cfRule type="expression" dxfId="281" priority="116">
      <formula>$A36="PREVISTO"</formula>
    </cfRule>
  </conditionalFormatting>
  <conditionalFormatting sqref="O36 U36 AA36 AM36 AS36 AY36 BE36 BK36 BQ36 BW36">
    <cfRule type="expression" dxfId="280" priority="115">
      <formula>$A36="REALIZADO"</formula>
    </cfRule>
  </conditionalFormatting>
  <conditionalFormatting sqref="T36 Z36 AR36 AX36 BD36 BJ36 BP36 BV36 CB36">
    <cfRule type="expression" dxfId="279" priority="112">
      <formula>$A36="PREVISTO"</formula>
    </cfRule>
  </conditionalFormatting>
  <conditionalFormatting sqref="T36 Z36 AR36 AX36 BD36 BJ36 BP36 BV36 CB36">
    <cfRule type="expression" dxfId="278" priority="111">
      <formula>$A36="REALIZADO"</formula>
    </cfRule>
  </conditionalFormatting>
  <conditionalFormatting sqref="S36 Y36 AQ36 AW36 BC36 BI36 BO36 BU36 CA36">
    <cfRule type="expression" dxfId="277" priority="110">
      <formula>$A36="PREVISTO"</formula>
    </cfRule>
  </conditionalFormatting>
  <conditionalFormatting sqref="S36 Y36 AQ36 AW36 BC36 BI36 BO36 BU36 CA36">
    <cfRule type="expression" dxfId="276" priority="109">
      <formula>$A36="REALIZADO"</formula>
    </cfRule>
  </conditionalFormatting>
  <conditionalFormatting sqref="R36 X36 AD36 AP36 AV36 BB36 BH36 BN36 BT36 BZ36">
    <cfRule type="expression" dxfId="275" priority="108">
      <formula>$A36="PREVISTO"</formula>
    </cfRule>
  </conditionalFormatting>
  <conditionalFormatting sqref="R36 X36 AD36 AP36 AV36 BB36 BH36 BN36 BT36 BZ36">
    <cfRule type="expression" dxfId="274" priority="107">
      <formula>$A36="REALIZADO"</formula>
    </cfRule>
  </conditionalFormatting>
  <conditionalFormatting sqref="Q36 AC36 AO36 AU36 BA36 BG36 BM36 BS36 BY36 W36">
    <cfRule type="expression" dxfId="273" priority="106">
      <formula>$A36="PREVISTO"</formula>
    </cfRule>
  </conditionalFormatting>
  <conditionalFormatting sqref="Q36 AC36 AO36 AU36 BA36 BG36 BM36 BS36 BY36 W36">
    <cfRule type="expression" dxfId="272" priority="105">
      <formula>$A36="REALIZADO"</formula>
    </cfRule>
  </conditionalFormatting>
  <conditionalFormatting sqref="AE36">
    <cfRule type="expression" dxfId="271" priority="102">
      <formula>$A36="PREVISTO"</formula>
    </cfRule>
  </conditionalFormatting>
  <conditionalFormatting sqref="AE36">
    <cfRule type="expression" dxfId="270" priority="101">
      <formula>$A36="REALIZADO"</formula>
    </cfRule>
  </conditionalFormatting>
  <conditionalFormatting sqref="AF36">
    <cfRule type="expression" dxfId="269" priority="104">
      <formula>$A36="PREVISTO"</formula>
    </cfRule>
  </conditionalFormatting>
  <conditionalFormatting sqref="AF36">
    <cfRule type="expression" dxfId="268" priority="103">
      <formula>$A36="REALIZADO"</formula>
    </cfRule>
  </conditionalFormatting>
  <conditionalFormatting sqref="AI36">
    <cfRule type="expression" dxfId="267" priority="94">
      <formula>$A36="PREVISTO"</formula>
    </cfRule>
  </conditionalFormatting>
  <conditionalFormatting sqref="AI36">
    <cfRule type="expression" dxfId="266" priority="93">
      <formula>$A36="REALIZADO"</formula>
    </cfRule>
  </conditionalFormatting>
  <conditionalFormatting sqref="AJ36">
    <cfRule type="expression" dxfId="265" priority="96">
      <formula>$A36="PREVISTO"</formula>
    </cfRule>
  </conditionalFormatting>
  <conditionalFormatting sqref="AJ36">
    <cfRule type="expression" dxfId="264" priority="95">
      <formula>$A36="REALIZADO"</formula>
    </cfRule>
  </conditionalFormatting>
  <conditionalFormatting sqref="AG36">
    <cfRule type="expression" dxfId="263" priority="100">
      <formula>$A36="PREVISTO"</formula>
    </cfRule>
  </conditionalFormatting>
  <conditionalFormatting sqref="AG36">
    <cfRule type="expression" dxfId="262" priority="99">
      <formula>$A36="REALIZADO"</formula>
    </cfRule>
  </conditionalFormatting>
  <conditionalFormatting sqref="AH36">
    <cfRule type="expression" dxfId="261" priority="98">
      <formula>$A36="PREVISTO"</formula>
    </cfRule>
  </conditionalFormatting>
  <conditionalFormatting sqref="AH36">
    <cfRule type="expression" dxfId="260" priority="97">
      <formula>$A36="REALIZADO"</formula>
    </cfRule>
  </conditionalFormatting>
  <conditionalFormatting sqref="AL36">
    <cfRule type="expression" dxfId="259" priority="92">
      <formula>$A36="PREVISTO"</formula>
    </cfRule>
  </conditionalFormatting>
  <conditionalFormatting sqref="AL36">
    <cfRule type="expression" dxfId="258" priority="91">
      <formula>$A36="REALIZADO"</formula>
    </cfRule>
  </conditionalFormatting>
  <conditionalFormatting sqref="AK36">
    <cfRule type="expression" dxfId="257" priority="90">
      <formula>$A36="PREVISTO"</formula>
    </cfRule>
  </conditionalFormatting>
  <conditionalFormatting sqref="AK36">
    <cfRule type="expression" dxfId="256" priority="89">
      <formula>$A36="REALIZADO"</formula>
    </cfRule>
  </conditionalFormatting>
  <conditionalFormatting sqref="G37:H37">
    <cfRule type="expression" dxfId="255" priority="86">
      <formula>$A37="PREVISTO"</formula>
    </cfRule>
  </conditionalFormatting>
  <conditionalFormatting sqref="G37:H37">
    <cfRule type="expression" dxfId="254" priority="85">
      <formula>$A37="REALIZADO"</formula>
    </cfRule>
  </conditionalFormatting>
  <conditionalFormatting sqref="A37:F37">
    <cfRule type="expression" dxfId="253" priority="88">
      <formula>$A37="PREVISTO"</formula>
    </cfRule>
  </conditionalFormatting>
  <conditionalFormatting sqref="A37:F37">
    <cfRule type="expression" dxfId="252" priority="87">
      <formula>$A37="REALIZADO"</formula>
    </cfRule>
  </conditionalFormatting>
  <conditionalFormatting sqref="J37">
    <cfRule type="expression" dxfId="251" priority="82">
      <formula>$A37="PREVISTO"</formula>
    </cfRule>
  </conditionalFormatting>
  <conditionalFormatting sqref="J37">
    <cfRule type="expression" dxfId="250" priority="81">
      <formula>$A37="REALIZADO"</formula>
    </cfRule>
  </conditionalFormatting>
  <conditionalFormatting sqref="I37">
    <cfRule type="expression" dxfId="249" priority="84">
      <formula>$A37="PREVISTO"</formula>
    </cfRule>
  </conditionalFormatting>
  <conditionalFormatting sqref="I37">
    <cfRule type="expression" dxfId="248" priority="83">
      <formula>$A37="REALIZADO"</formula>
    </cfRule>
  </conditionalFormatting>
  <conditionalFormatting sqref="K37">
    <cfRule type="expression" dxfId="247" priority="74">
      <formula>$A37="PREVISTO"</formula>
    </cfRule>
  </conditionalFormatting>
  <conditionalFormatting sqref="K37">
    <cfRule type="expression" dxfId="246" priority="73">
      <formula>$A37="REALIZADO"</formula>
    </cfRule>
  </conditionalFormatting>
  <conditionalFormatting sqref="L37">
    <cfRule type="expression" dxfId="245" priority="76">
      <formula>$A37="PREVISTO"</formula>
    </cfRule>
  </conditionalFormatting>
  <conditionalFormatting sqref="L37">
    <cfRule type="expression" dxfId="244" priority="75">
      <formula>$A37="REALIZADO"</formula>
    </cfRule>
  </conditionalFormatting>
  <conditionalFormatting sqref="N37">
    <cfRule type="expression" dxfId="243" priority="80">
      <formula>$A37="PREVISTO"</formula>
    </cfRule>
  </conditionalFormatting>
  <conditionalFormatting sqref="N37">
    <cfRule type="expression" dxfId="242" priority="79">
      <formula>$A37="REALIZADO"</formula>
    </cfRule>
  </conditionalFormatting>
  <conditionalFormatting sqref="M37">
    <cfRule type="expression" dxfId="241" priority="78">
      <formula>$A37="PREVISTO"</formula>
    </cfRule>
  </conditionalFormatting>
  <conditionalFormatting sqref="M37">
    <cfRule type="expression" dxfId="240" priority="77">
      <formula>$A37="REALIZADO"</formula>
    </cfRule>
  </conditionalFormatting>
  <conditionalFormatting sqref="P37 V37 AB37 AN37 AT37 AZ37 BF37 BL37 BR37 BX37">
    <cfRule type="expression" dxfId="239" priority="70">
      <formula>$A37="PREVISTO"</formula>
    </cfRule>
  </conditionalFormatting>
  <conditionalFormatting sqref="P37 V37 AB37 AN37 AT37 AZ37 BF37 BL37 BR37 BX37">
    <cfRule type="expression" dxfId="238" priority="69">
      <formula>$A37="REALIZADO"</formula>
    </cfRule>
  </conditionalFormatting>
  <conditionalFormatting sqref="O37 U37 AA37 AM37 AS37 AY37 BE37 BK37 BQ37 BW37">
    <cfRule type="expression" dxfId="237" priority="72">
      <formula>$A37="PREVISTO"</formula>
    </cfRule>
  </conditionalFormatting>
  <conditionalFormatting sqref="O37 U37 AA37 AM37 AS37 AY37 BE37 BK37 BQ37 BW37">
    <cfRule type="expression" dxfId="236" priority="71">
      <formula>$A37="REALIZADO"</formula>
    </cfRule>
  </conditionalFormatting>
  <conditionalFormatting sqref="T37 Z37 AR37 AX37 BD37 BJ37 BP37 BV37 CB37">
    <cfRule type="expression" dxfId="235" priority="68">
      <formula>$A37="PREVISTO"</formula>
    </cfRule>
  </conditionalFormatting>
  <conditionalFormatting sqref="T37 Z37 AR37 AX37 BD37 BJ37 BP37 BV37 CB37">
    <cfRule type="expression" dxfId="234" priority="67">
      <formula>$A37="REALIZADO"</formula>
    </cfRule>
  </conditionalFormatting>
  <conditionalFormatting sqref="S37 Y37 AQ37 AW37 BC37 BI37 BO37 BU37 CA37">
    <cfRule type="expression" dxfId="233" priority="66">
      <formula>$A37="PREVISTO"</formula>
    </cfRule>
  </conditionalFormatting>
  <conditionalFormatting sqref="S37 Y37 AQ37 AW37 BC37 BI37 BO37 BU37 CA37">
    <cfRule type="expression" dxfId="232" priority="65">
      <formula>$A37="REALIZADO"</formula>
    </cfRule>
  </conditionalFormatting>
  <conditionalFormatting sqref="R37 X37 AD37 AP37 AV37 BB37 BH37 BN37 BT37 BZ37">
    <cfRule type="expression" dxfId="231" priority="64">
      <formula>$A37="PREVISTO"</formula>
    </cfRule>
  </conditionalFormatting>
  <conditionalFormatting sqref="R37 X37 AD37 AP37 AV37 BB37 BH37 BN37 BT37 BZ37">
    <cfRule type="expression" dxfId="230" priority="63">
      <formula>$A37="REALIZADO"</formula>
    </cfRule>
  </conditionalFormatting>
  <conditionalFormatting sqref="Q37 AC37 AO37 AU37 BA37 BG37 BM37 BS37 BY37 W37">
    <cfRule type="expression" dxfId="229" priority="62">
      <formula>$A37="PREVISTO"</formula>
    </cfRule>
  </conditionalFormatting>
  <conditionalFormatting sqref="Q37 AC37 AO37 AU37 BA37 BG37 BM37 BS37 BY37 W37">
    <cfRule type="expression" dxfId="228" priority="61">
      <formula>$A37="REALIZADO"</formula>
    </cfRule>
  </conditionalFormatting>
  <conditionalFormatting sqref="AE37">
    <cfRule type="expression" dxfId="227" priority="58">
      <formula>$A37="PREVISTO"</formula>
    </cfRule>
  </conditionalFormatting>
  <conditionalFormatting sqref="AE37">
    <cfRule type="expression" dxfId="226" priority="57">
      <formula>$A37="REALIZADO"</formula>
    </cfRule>
  </conditionalFormatting>
  <conditionalFormatting sqref="AF37">
    <cfRule type="expression" dxfId="225" priority="60">
      <formula>$A37="PREVISTO"</formula>
    </cfRule>
  </conditionalFormatting>
  <conditionalFormatting sqref="AF37">
    <cfRule type="expression" dxfId="224" priority="59">
      <formula>$A37="REALIZADO"</formula>
    </cfRule>
  </conditionalFormatting>
  <conditionalFormatting sqref="AI37">
    <cfRule type="expression" dxfId="223" priority="50">
      <formula>$A37="PREVISTO"</formula>
    </cfRule>
  </conditionalFormatting>
  <conditionalFormatting sqref="AI37">
    <cfRule type="expression" dxfId="222" priority="49">
      <formula>$A37="REALIZADO"</formula>
    </cfRule>
  </conditionalFormatting>
  <conditionalFormatting sqref="AJ37">
    <cfRule type="expression" dxfId="221" priority="52">
      <formula>$A37="PREVISTO"</formula>
    </cfRule>
  </conditionalFormatting>
  <conditionalFormatting sqref="AJ37">
    <cfRule type="expression" dxfId="220" priority="51">
      <formula>$A37="REALIZADO"</formula>
    </cfRule>
  </conditionalFormatting>
  <conditionalFormatting sqref="AG37">
    <cfRule type="expression" dxfId="219" priority="56">
      <formula>$A37="PREVISTO"</formula>
    </cfRule>
  </conditionalFormatting>
  <conditionalFormatting sqref="AG37">
    <cfRule type="expression" dxfId="218" priority="55">
      <formula>$A37="REALIZADO"</formula>
    </cfRule>
  </conditionalFormatting>
  <conditionalFormatting sqref="AH37">
    <cfRule type="expression" dxfId="217" priority="54">
      <formula>$A37="PREVISTO"</formula>
    </cfRule>
  </conditionalFormatting>
  <conditionalFormatting sqref="AH37">
    <cfRule type="expression" dxfId="216" priority="53">
      <formula>$A37="REALIZADO"</formula>
    </cfRule>
  </conditionalFormatting>
  <conditionalFormatting sqref="AL37">
    <cfRule type="expression" dxfId="215" priority="48">
      <formula>$A37="PREVISTO"</formula>
    </cfRule>
  </conditionalFormatting>
  <conditionalFormatting sqref="AL37">
    <cfRule type="expression" dxfId="214" priority="47">
      <formula>$A37="REALIZADO"</formula>
    </cfRule>
  </conditionalFormatting>
  <conditionalFormatting sqref="AK37">
    <cfRule type="expression" dxfId="213" priority="46">
      <formula>$A37="PREVISTO"</formula>
    </cfRule>
  </conditionalFormatting>
  <conditionalFormatting sqref="AK37">
    <cfRule type="expression" dxfId="212" priority="45">
      <formula>$A37="REALIZADO"</formula>
    </cfRule>
  </conditionalFormatting>
  <conditionalFormatting sqref="G38:H38">
    <cfRule type="expression" dxfId="135" priority="42">
      <formula>$A38="PREVISTO"</formula>
    </cfRule>
  </conditionalFormatting>
  <conditionalFormatting sqref="G38:H38">
    <cfRule type="expression" dxfId="134" priority="41">
      <formula>$A38="REALIZADO"</formula>
    </cfRule>
  </conditionalFormatting>
  <conditionalFormatting sqref="A38:F38">
    <cfRule type="expression" dxfId="133" priority="44">
      <formula>$A38="PREVISTO"</formula>
    </cfRule>
  </conditionalFormatting>
  <conditionalFormatting sqref="A38:F38">
    <cfRule type="expression" dxfId="132" priority="43">
      <formula>$A38="REALIZADO"</formula>
    </cfRule>
  </conditionalFormatting>
  <conditionalFormatting sqref="J38">
    <cfRule type="expression" dxfId="131" priority="38">
      <formula>$A38="PREVISTO"</formula>
    </cfRule>
  </conditionalFormatting>
  <conditionalFormatting sqref="J38">
    <cfRule type="expression" dxfId="130" priority="37">
      <formula>$A38="REALIZADO"</formula>
    </cfRule>
  </conditionalFormatting>
  <conditionalFormatting sqref="I38">
    <cfRule type="expression" dxfId="129" priority="40">
      <formula>$A38="PREVISTO"</formula>
    </cfRule>
  </conditionalFormatting>
  <conditionalFormatting sqref="I38">
    <cfRule type="expression" dxfId="128" priority="39">
      <formula>$A38="REALIZADO"</formula>
    </cfRule>
  </conditionalFormatting>
  <conditionalFormatting sqref="K38">
    <cfRule type="expression" dxfId="127" priority="30">
      <formula>$A38="PREVISTO"</formula>
    </cfRule>
  </conditionalFormatting>
  <conditionalFormatting sqref="K38">
    <cfRule type="expression" dxfId="126" priority="29">
      <formula>$A38="REALIZADO"</formula>
    </cfRule>
  </conditionalFormatting>
  <conditionalFormatting sqref="L38">
    <cfRule type="expression" dxfId="125" priority="32">
      <formula>$A38="PREVISTO"</formula>
    </cfRule>
  </conditionalFormatting>
  <conditionalFormatting sqref="L38">
    <cfRule type="expression" dxfId="124" priority="31">
      <formula>$A38="REALIZADO"</formula>
    </cfRule>
  </conditionalFormatting>
  <conditionalFormatting sqref="N38">
    <cfRule type="expression" dxfId="123" priority="36">
      <formula>$A38="PREVISTO"</formula>
    </cfRule>
  </conditionalFormatting>
  <conditionalFormatting sqref="N38">
    <cfRule type="expression" dxfId="122" priority="35">
      <formula>$A38="REALIZADO"</formula>
    </cfRule>
  </conditionalFormatting>
  <conditionalFormatting sqref="M38">
    <cfRule type="expression" dxfId="121" priority="34">
      <formula>$A38="PREVISTO"</formula>
    </cfRule>
  </conditionalFormatting>
  <conditionalFormatting sqref="M38">
    <cfRule type="expression" dxfId="120" priority="33">
      <formula>$A38="REALIZADO"</formula>
    </cfRule>
  </conditionalFormatting>
  <conditionalFormatting sqref="P38 V38 AB38 AN38 AT38 AZ38 BF38 BL38 BR38 BX38">
    <cfRule type="expression" dxfId="119" priority="26">
      <formula>$A38="PREVISTO"</formula>
    </cfRule>
  </conditionalFormatting>
  <conditionalFormatting sqref="P38 V38 AB38 AN38 AT38 AZ38 BF38 BL38 BR38 BX38">
    <cfRule type="expression" dxfId="118" priority="25">
      <formula>$A38="REALIZADO"</formula>
    </cfRule>
  </conditionalFormatting>
  <conditionalFormatting sqref="O38 U38 AA38 AM38 AS38 AY38 BE38 BK38 BQ38 BW38">
    <cfRule type="expression" dxfId="117" priority="28">
      <formula>$A38="PREVISTO"</formula>
    </cfRule>
  </conditionalFormatting>
  <conditionalFormatting sqref="O38 U38 AA38 AM38 AS38 AY38 BE38 BK38 BQ38 BW38">
    <cfRule type="expression" dxfId="116" priority="27">
      <formula>$A38="REALIZADO"</formula>
    </cfRule>
  </conditionalFormatting>
  <conditionalFormatting sqref="T38 Z38 AR38 AX38 BD38 BJ38 BP38 BV38 CB38">
    <cfRule type="expression" dxfId="115" priority="24">
      <formula>$A38="PREVISTO"</formula>
    </cfRule>
  </conditionalFormatting>
  <conditionalFormatting sqref="T38 Z38 AR38 AX38 BD38 BJ38 BP38 BV38 CB38">
    <cfRule type="expression" dxfId="114" priority="23">
      <formula>$A38="REALIZADO"</formula>
    </cfRule>
  </conditionalFormatting>
  <conditionalFormatting sqref="S38 Y38 AQ38 AW38 BC38 BI38 BO38 BU38 CA38">
    <cfRule type="expression" dxfId="113" priority="22">
      <formula>$A38="PREVISTO"</formula>
    </cfRule>
  </conditionalFormatting>
  <conditionalFormatting sqref="S38 Y38 AQ38 AW38 BC38 BI38 BO38 BU38 CA38">
    <cfRule type="expression" dxfId="112" priority="21">
      <formula>$A38="REALIZADO"</formula>
    </cfRule>
  </conditionalFormatting>
  <conditionalFormatting sqref="R38 X38 AD38 AP38 AV38 BB38 BH38 BN38 BT38 BZ38">
    <cfRule type="expression" dxfId="111" priority="20">
      <formula>$A38="PREVISTO"</formula>
    </cfRule>
  </conditionalFormatting>
  <conditionalFormatting sqref="R38 X38 AD38 AP38 AV38 BB38 BH38 BN38 BT38 BZ38">
    <cfRule type="expression" dxfId="110" priority="19">
      <formula>$A38="REALIZADO"</formula>
    </cfRule>
  </conditionalFormatting>
  <conditionalFormatting sqref="Q38 AC38 AO38 AU38 BA38 BG38 BM38 BS38 BY38 W38">
    <cfRule type="expression" dxfId="109" priority="18">
      <formula>$A38="PREVISTO"</formula>
    </cfRule>
  </conditionalFormatting>
  <conditionalFormatting sqref="Q38 AC38 AO38 AU38 BA38 BG38 BM38 BS38 BY38 W38">
    <cfRule type="expression" dxfId="108" priority="17">
      <formula>$A38="REALIZADO"</formula>
    </cfRule>
  </conditionalFormatting>
  <conditionalFormatting sqref="AE38">
    <cfRule type="expression" dxfId="107" priority="14">
      <formula>$A38="PREVISTO"</formula>
    </cfRule>
  </conditionalFormatting>
  <conditionalFormatting sqref="AE38">
    <cfRule type="expression" dxfId="106" priority="13">
      <formula>$A38="REALIZADO"</formula>
    </cfRule>
  </conditionalFormatting>
  <conditionalFormatting sqref="AF38">
    <cfRule type="expression" dxfId="105" priority="16">
      <formula>$A38="PREVISTO"</formula>
    </cfRule>
  </conditionalFormatting>
  <conditionalFormatting sqref="AF38">
    <cfRule type="expression" dxfId="104" priority="15">
      <formula>$A38="REALIZADO"</formula>
    </cfRule>
  </conditionalFormatting>
  <conditionalFormatting sqref="AI38">
    <cfRule type="expression" dxfId="103" priority="6">
      <formula>$A38="PREVISTO"</formula>
    </cfRule>
  </conditionalFormatting>
  <conditionalFormatting sqref="AI38">
    <cfRule type="expression" dxfId="102" priority="5">
      <formula>$A38="REALIZADO"</formula>
    </cfRule>
  </conditionalFormatting>
  <conditionalFormatting sqref="AJ38">
    <cfRule type="expression" dxfId="101" priority="8">
      <formula>$A38="PREVISTO"</formula>
    </cfRule>
  </conditionalFormatting>
  <conditionalFormatting sqref="AJ38">
    <cfRule type="expression" dxfId="100" priority="7">
      <formula>$A38="REALIZADO"</formula>
    </cfRule>
  </conditionalFormatting>
  <conditionalFormatting sqref="AG38">
    <cfRule type="expression" dxfId="99" priority="12">
      <formula>$A38="PREVISTO"</formula>
    </cfRule>
  </conditionalFormatting>
  <conditionalFormatting sqref="AG38">
    <cfRule type="expression" dxfId="98" priority="11">
      <formula>$A38="REALIZADO"</formula>
    </cfRule>
  </conditionalFormatting>
  <conditionalFormatting sqref="AH38">
    <cfRule type="expression" dxfId="97" priority="10">
      <formula>$A38="PREVISTO"</formula>
    </cfRule>
  </conditionalFormatting>
  <conditionalFormatting sqref="AH38">
    <cfRule type="expression" dxfId="96" priority="9">
      <formula>$A38="REALIZADO"</formula>
    </cfRule>
  </conditionalFormatting>
  <conditionalFormatting sqref="AL38">
    <cfRule type="expression" dxfId="95" priority="4">
      <formula>$A38="PREVISTO"</formula>
    </cfRule>
  </conditionalFormatting>
  <conditionalFormatting sqref="AL38">
    <cfRule type="expression" dxfId="94" priority="3">
      <formula>$A38="REALIZADO"</formula>
    </cfRule>
  </conditionalFormatting>
  <conditionalFormatting sqref="AK38">
    <cfRule type="expression" dxfId="93" priority="2">
      <formula>$A38="PREVISTO"</formula>
    </cfRule>
  </conditionalFormatting>
  <conditionalFormatting sqref="AK38">
    <cfRule type="expression" dxfId="92" priority="1">
      <formula>$A38="REALIZADO"</formula>
    </cfRule>
  </conditionalFormatting>
  <pageMargins left="0.25" right="0.25" top="0.75" bottom="0.75" header="0.3" footer="0.3"/>
  <pageSetup paperSize="9" scale="10" fitToHeight="0" orientation="landscape" r:id="rId1"/>
  <ignoredErrors>
    <ignoredError sqref="S16:S27 Q16:Q27 S5:S6 Q5:Q7 K15:K27 V27 Y26:Z26 BA13 AS13:AU13 AY13 AO13 AN10 BW13:BY13 BQ13:BS13 BK13:BM13 BE13:BG13 BE10:BY10 BE15:BY27 BH13:BJ14 BF14 BL14 BR14 BN13:BP14 BX14 BT13:BV14 AN13:AN14 AN16:AY18 AP13:AR13 AT14 AV13:AX14 BA15:BA27 O13 O28:T28 AN4:AY4 O4:O8 BA4:BA8 BE4:BY8 O9:T9 Z5:Z10 V13:V15 Z15 Z18:Z21 Z23:Z25 X27 Z27 Y4:Z4 X5:X10 Y28:Z28 X14:Y14 X15 X13:Z13 V5:V10 AB9 AB28 AD9 AD28 AC4:AC9 AC13:AC15 U16:U21 X18:Y25 X17:Z17 V17:W25 V16:Z16 AC19 AC22:AC23 AC25:AC28 AN9:CB9 AC29:AD33 AF28:AF33 AF9 AN28:CB28 G6:G10 G21 G24 G27:G28 AH28:AH33 AH9 AJ28:AJ33 AJ9 G32:G33 AK13:AK35 AK4:AK9 O10 BA10 AP10 AN6:AY6 AO5:AP5 AN8:AY8 AO7:AP7 AR5:AY5 AR7:AY7 AR10:AY10 AP14:AQ14 AN15:AP15 AR15:AY15 AN20:AY23 AN19:AP19 AR19:AY19 AN25:AY27 AN24:AP24 AR24:AY24 AN32:CB33 AN29:AP29 AR29:CB29 AN30:AP30 AR30:CB30 AN31:AP31 AR31:CB31"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9C04-FFBD-4DE0-B691-D5AD8091FBD3}">
  <sheetPr>
    <tabColor theme="3" tint="0.79998168889431442"/>
    <outlinePr summaryRight="0"/>
  </sheetPr>
  <dimension ref="A1:AK39"/>
  <sheetViews>
    <sheetView showGridLines="0" showZeros="0" zoomScaleNormal="100" workbookViewId="0">
      <pane xSplit="3" ySplit="3" topLeftCell="D7" activePane="bottomRight" state="frozen"/>
      <selection activeCell="C1" sqref="C1:H1"/>
      <selection pane="topRight" activeCell="C1" sqref="C1:H1"/>
      <selection pane="bottomLeft" activeCell="C1" sqref="C1:H1"/>
      <selection pane="bottomRight" activeCell="B3" sqref="B3"/>
    </sheetView>
  </sheetViews>
  <sheetFormatPr defaultColWidth="9.140625" defaultRowHeight="15" x14ac:dyDescent="0.25"/>
  <cols>
    <col min="1" max="1" width="11.5703125" style="11" bestFit="1" customWidth="1"/>
    <col min="2" max="2" width="30.42578125" style="11" customWidth="1"/>
    <col min="3" max="3" width="10.42578125" style="11" customWidth="1"/>
    <col min="4" max="4" width="16.85546875" style="11" hidden="1" customWidth="1"/>
    <col min="5" max="5" width="8.5703125" style="11" customWidth="1"/>
    <col min="6" max="21" width="6.7109375" style="12" customWidth="1"/>
    <col min="22" max="22" width="3.140625" style="11" customWidth="1"/>
    <col min="23" max="23" width="7.7109375" style="11" hidden="1" customWidth="1"/>
    <col min="24" max="37" width="6.7109375" style="11" customWidth="1"/>
    <col min="38" max="16384" width="9.140625" style="11"/>
  </cols>
  <sheetData>
    <row r="1" spans="1:37" ht="52.5" customHeight="1" x14ac:dyDescent="0.25"/>
    <row r="2" spans="1:37" x14ac:dyDescent="0.25">
      <c r="A2" s="13"/>
      <c r="B2" s="13"/>
      <c r="C2" s="13"/>
      <c r="D2" s="13"/>
      <c r="E2" s="14" t="s">
        <v>220</v>
      </c>
      <c r="F2" s="14" t="s">
        <v>221</v>
      </c>
      <c r="G2" s="13"/>
      <c r="H2" s="13"/>
      <c r="I2" s="13"/>
      <c r="J2" s="13"/>
      <c r="K2" s="13"/>
      <c r="L2" s="13"/>
      <c r="M2" s="13"/>
      <c r="N2" s="13"/>
      <c r="O2" s="13"/>
      <c r="P2" s="13"/>
      <c r="Q2" s="13"/>
      <c r="R2" s="13"/>
      <c r="S2" s="13"/>
      <c r="T2" s="13"/>
      <c r="U2" s="13"/>
      <c r="V2" s="16"/>
      <c r="W2" s="13"/>
      <c r="X2" s="13"/>
      <c r="Y2" s="13"/>
      <c r="Z2" s="13"/>
      <c r="AA2" s="13"/>
      <c r="AB2" s="13"/>
      <c r="AC2" s="13"/>
      <c r="AD2" s="13"/>
      <c r="AE2" s="13"/>
      <c r="AF2" s="13"/>
      <c r="AG2" s="13"/>
      <c r="AH2" s="13"/>
      <c r="AI2" s="13"/>
      <c r="AJ2" s="13"/>
      <c r="AK2" s="13"/>
    </row>
    <row r="3" spans="1:37" s="219" customFormat="1" ht="39.950000000000003" customHeight="1" thickBot="1" x14ac:dyDescent="0.25">
      <c r="A3" s="215" t="s">
        <v>201</v>
      </c>
      <c r="B3" s="215" t="s">
        <v>202</v>
      </c>
      <c r="C3" s="215" t="s">
        <v>141</v>
      </c>
      <c r="D3" s="215" t="s">
        <v>294</v>
      </c>
      <c r="E3" s="216" t="s">
        <v>222</v>
      </c>
      <c r="F3" s="217" t="s">
        <v>203</v>
      </c>
      <c r="G3" s="217" t="s">
        <v>204</v>
      </c>
      <c r="H3" s="217" t="s">
        <v>205</v>
      </c>
      <c r="I3" s="217" t="s">
        <v>206</v>
      </c>
      <c r="J3" s="217" t="s">
        <v>207</v>
      </c>
      <c r="K3" s="217" t="s">
        <v>208</v>
      </c>
      <c r="L3" s="217" t="s">
        <v>209</v>
      </c>
      <c r="M3" s="217" t="s">
        <v>210</v>
      </c>
      <c r="N3" s="217" t="s">
        <v>211</v>
      </c>
      <c r="O3" s="217" t="s">
        <v>212</v>
      </c>
      <c r="P3" s="217" t="s">
        <v>213</v>
      </c>
      <c r="Q3" s="217" t="s">
        <v>214</v>
      </c>
      <c r="R3" s="217" t="s">
        <v>215</v>
      </c>
      <c r="S3" s="217" t="s">
        <v>216</v>
      </c>
      <c r="T3" s="217" t="s">
        <v>217</v>
      </c>
      <c r="U3" s="217" t="s">
        <v>218</v>
      </c>
      <c r="V3" s="360" t="s">
        <v>383</v>
      </c>
      <c r="W3" s="218" t="s">
        <v>223</v>
      </c>
      <c r="X3" s="218" t="s">
        <v>224</v>
      </c>
      <c r="Y3" s="218" t="s">
        <v>225</v>
      </c>
      <c r="Z3" s="218" t="s">
        <v>226</v>
      </c>
      <c r="AA3" s="218" t="s">
        <v>227</v>
      </c>
      <c r="AB3" s="218" t="s">
        <v>228</v>
      </c>
      <c r="AC3" s="218" t="s">
        <v>229</v>
      </c>
      <c r="AD3" s="218" t="s">
        <v>230</v>
      </c>
      <c r="AE3" s="218" t="s">
        <v>231</v>
      </c>
      <c r="AF3" s="218" t="s">
        <v>232</v>
      </c>
      <c r="AG3" s="218" t="s">
        <v>233</v>
      </c>
      <c r="AH3" s="218" t="s">
        <v>234</v>
      </c>
      <c r="AI3" s="218" t="s">
        <v>235</v>
      </c>
      <c r="AJ3" s="218" t="s">
        <v>384</v>
      </c>
      <c r="AK3" s="218" t="s">
        <v>236</v>
      </c>
    </row>
    <row r="4" spans="1:37" ht="15.75" thickTop="1" x14ac:dyDescent="0.25">
      <c r="A4" t="s">
        <v>338</v>
      </c>
      <c r="B4" t="s">
        <v>329</v>
      </c>
      <c r="C4" t="s">
        <v>125</v>
      </c>
      <c r="D4" s="295">
        <v>9201249.3284999989</v>
      </c>
      <c r="E4" s="313">
        <f>SUM(Tb_DISTR.FIN[[#This Row],[SET.25]:[DEZ.26]])</f>
        <v>0.99999999999999989</v>
      </c>
      <c r="F4" s="296">
        <v>0</v>
      </c>
      <c r="G4" s="296">
        <v>0.1</v>
      </c>
      <c r="H4" s="296">
        <v>0.23</v>
      </c>
      <c r="I4" s="296">
        <v>0.09</v>
      </c>
      <c r="J4" s="296">
        <v>0.09</v>
      </c>
      <c r="K4" s="296">
        <v>2.5000000000000001E-2</v>
      </c>
      <c r="L4" s="296">
        <v>7.0000000000000007E-2</v>
      </c>
      <c r="M4" s="296">
        <v>8.5000000000000006E-2</v>
      </c>
      <c r="N4" s="296">
        <v>0.11</v>
      </c>
      <c r="O4" s="296">
        <v>0.1</v>
      </c>
      <c r="P4" s="296">
        <v>0.1</v>
      </c>
      <c r="Q4" s="296">
        <v>0</v>
      </c>
      <c r="R4" s="296">
        <v>0</v>
      </c>
      <c r="S4" s="296">
        <v>0</v>
      </c>
      <c r="T4" s="296">
        <v>0</v>
      </c>
      <c r="U4" s="296">
        <v>0</v>
      </c>
      <c r="V4" s="297"/>
      <c r="W4" s="298">
        <v>0</v>
      </c>
      <c r="X4" s="253" t="s">
        <v>204</v>
      </c>
      <c r="Y4" s="254" t="s">
        <v>205</v>
      </c>
      <c r="Z4" s="254" t="s">
        <v>205</v>
      </c>
      <c r="AA4" s="255" t="s">
        <v>206</v>
      </c>
      <c r="AB4" s="256" t="s">
        <v>207</v>
      </c>
      <c r="AC4" s="257" t="s">
        <v>208</v>
      </c>
      <c r="AD4" s="258" t="s">
        <v>209</v>
      </c>
      <c r="AE4" s="259" t="s">
        <v>210</v>
      </c>
      <c r="AF4" s="260" t="s">
        <v>211</v>
      </c>
      <c r="AG4" s="261" t="s">
        <v>212</v>
      </c>
      <c r="AH4" s="262"/>
      <c r="AI4" s="262"/>
      <c r="AJ4" s="262"/>
      <c r="AK4" s="273" t="s">
        <v>213</v>
      </c>
    </row>
    <row r="5" spans="1:37" x14ac:dyDescent="0.25">
      <c r="A5" t="s">
        <v>339</v>
      </c>
      <c r="B5" t="s">
        <v>330</v>
      </c>
      <c r="C5" t="s">
        <v>125</v>
      </c>
      <c r="D5" s="295">
        <v>857462.22378</v>
      </c>
      <c r="E5" s="314">
        <f>SUM(Tb_DISTR.FIN[[#This Row],[SET.25]:[DEZ.26]])</f>
        <v>1</v>
      </c>
      <c r="F5" s="315">
        <v>8.3130569514498792E-2</v>
      </c>
      <c r="G5" s="315">
        <v>0.23189999999999994</v>
      </c>
      <c r="H5" s="315">
        <v>0.24736</v>
      </c>
      <c r="I5" s="315">
        <v>0</v>
      </c>
      <c r="J5" s="315">
        <v>0.43760943048550127</v>
      </c>
      <c r="K5" s="315">
        <v>0</v>
      </c>
      <c r="L5" s="315">
        <v>0</v>
      </c>
      <c r="M5" s="315">
        <v>0</v>
      </c>
      <c r="N5" s="315">
        <v>0</v>
      </c>
      <c r="O5" s="315">
        <v>0</v>
      </c>
      <c r="P5" s="315">
        <v>0</v>
      </c>
      <c r="Q5" s="315">
        <v>0</v>
      </c>
      <c r="R5" s="315">
        <v>0</v>
      </c>
      <c r="S5" s="315">
        <v>0</v>
      </c>
      <c r="T5" s="315">
        <v>0</v>
      </c>
      <c r="U5" s="315">
        <v>0</v>
      </c>
      <c r="V5" s="297"/>
      <c r="W5" s="298">
        <v>0</v>
      </c>
      <c r="X5" s="263" t="s">
        <v>203</v>
      </c>
      <c r="Y5" s="253" t="s">
        <v>204</v>
      </c>
      <c r="Z5" s="253" t="s">
        <v>204</v>
      </c>
      <c r="AA5" s="254" t="s">
        <v>205</v>
      </c>
      <c r="AB5" s="264" t="s">
        <v>207</v>
      </c>
      <c r="AC5" s="262"/>
      <c r="AD5" s="262"/>
      <c r="AE5" s="262"/>
      <c r="AF5" s="262"/>
      <c r="AG5" s="262"/>
      <c r="AH5" s="262"/>
      <c r="AI5" s="262"/>
      <c r="AJ5" s="262"/>
      <c r="AK5" s="264" t="s">
        <v>207</v>
      </c>
    </row>
    <row r="6" spans="1:37" x14ac:dyDescent="0.25">
      <c r="A6" t="s">
        <v>340</v>
      </c>
      <c r="B6" t="s">
        <v>331</v>
      </c>
      <c r="C6" t="s">
        <v>125</v>
      </c>
      <c r="D6" s="295">
        <v>1342003.9550399999</v>
      </c>
      <c r="E6" s="313">
        <f>SUM(Tb_DISTR.FIN[[#This Row],[SET.25]:[DEZ.26]])</f>
        <v>0.99999999999999989</v>
      </c>
      <c r="F6" s="315">
        <v>0</v>
      </c>
      <c r="G6" s="315">
        <v>0.28759789880918751</v>
      </c>
      <c r="H6" s="315">
        <v>0</v>
      </c>
      <c r="I6" s="315">
        <v>0.6124021011908124</v>
      </c>
      <c r="J6" s="315">
        <v>0.1</v>
      </c>
      <c r="K6" s="315">
        <v>0</v>
      </c>
      <c r="L6" s="315">
        <v>0</v>
      </c>
      <c r="M6" s="315">
        <v>0</v>
      </c>
      <c r="N6" s="315">
        <v>0</v>
      </c>
      <c r="O6" s="315">
        <v>0</v>
      </c>
      <c r="P6" s="315">
        <v>0</v>
      </c>
      <c r="Q6" s="315">
        <v>0</v>
      </c>
      <c r="R6" s="315">
        <v>0</v>
      </c>
      <c r="S6" s="315">
        <v>0</v>
      </c>
      <c r="T6" s="315">
        <v>0</v>
      </c>
      <c r="U6" s="315">
        <v>0</v>
      </c>
      <c r="V6" s="297"/>
      <c r="W6" s="298">
        <v>0</v>
      </c>
      <c r="X6" s="253" t="s">
        <v>204</v>
      </c>
      <c r="Y6" s="253" t="s">
        <v>204</v>
      </c>
      <c r="Z6" s="255" t="s">
        <v>206</v>
      </c>
      <c r="AA6" s="255" t="s">
        <v>206</v>
      </c>
      <c r="AB6" s="255" t="s">
        <v>206</v>
      </c>
      <c r="AC6" s="262"/>
      <c r="AD6" s="262"/>
      <c r="AE6" s="262"/>
      <c r="AF6" s="262"/>
      <c r="AG6" s="262"/>
      <c r="AH6" s="262"/>
      <c r="AI6" s="262"/>
      <c r="AJ6" s="262"/>
      <c r="AK6" s="264" t="s">
        <v>207</v>
      </c>
    </row>
    <row r="7" spans="1:37" x14ac:dyDescent="0.25">
      <c r="A7" t="s">
        <v>341</v>
      </c>
      <c r="B7" t="s">
        <v>332</v>
      </c>
      <c r="C7" t="s">
        <v>125</v>
      </c>
      <c r="D7" s="295">
        <v>572533.72343999997</v>
      </c>
      <c r="E7" s="314">
        <f>SUM(Tb_DISTR.FIN[[#This Row],[SET.25]:[DEZ.26]])</f>
        <v>0.99999999999999989</v>
      </c>
      <c r="F7" s="315">
        <v>0</v>
      </c>
      <c r="G7" s="315">
        <v>0.27387204595962328</v>
      </c>
      <c r="H7" s="315">
        <v>0.18258136397308219</v>
      </c>
      <c r="I7" s="315">
        <v>0.44354659006729452</v>
      </c>
      <c r="J7" s="315">
        <v>0.1</v>
      </c>
      <c r="K7" s="315">
        <v>0</v>
      </c>
      <c r="L7" s="315">
        <v>0</v>
      </c>
      <c r="M7" s="315">
        <v>0</v>
      </c>
      <c r="N7" s="315">
        <v>0</v>
      </c>
      <c r="O7" s="315">
        <v>0</v>
      </c>
      <c r="P7" s="315">
        <v>0</v>
      </c>
      <c r="Q7" s="315">
        <v>0</v>
      </c>
      <c r="R7" s="315">
        <v>0</v>
      </c>
      <c r="S7" s="315">
        <v>0</v>
      </c>
      <c r="T7" s="315">
        <v>0</v>
      </c>
      <c r="U7" s="315">
        <v>0</v>
      </c>
      <c r="V7" s="297"/>
      <c r="W7" s="298">
        <v>0</v>
      </c>
      <c r="X7" s="253" t="s">
        <v>204</v>
      </c>
      <c r="Y7" s="253" t="s">
        <v>204</v>
      </c>
      <c r="Z7" s="254" t="s">
        <v>205</v>
      </c>
      <c r="AA7" s="255" t="s">
        <v>206</v>
      </c>
      <c r="AB7" s="255" t="s">
        <v>206</v>
      </c>
      <c r="AC7" s="262"/>
      <c r="AD7" s="262"/>
      <c r="AE7" s="262"/>
      <c r="AF7" s="262"/>
      <c r="AG7" s="262"/>
      <c r="AH7" s="262"/>
      <c r="AI7" s="262"/>
      <c r="AJ7" s="262"/>
      <c r="AK7" s="264" t="s">
        <v>207</v>
      </c>
    </row>
    <row r="8" spans="1:37" x14ac:dyDescent="0.25">
      <c r="A8" t="s">
        <v>342</v>
      </c>
      <c r="B8" t="s">
        <v>333</v>
      </c>
      <c r="C8" t="s">
        <v>125</v>
      </c>
      <c r="D8" s="295">
        <v>743593.46399999992</v>
      </c>
      <c r="E8" s="313">
        <f>SUM(Tb_DISTR.FIN[[#This Row],[SET.25]:[DEZ.26]])</f>
        <v>1</v>
      </c>
      <c r="F8" s="315">
        <v>0</v>
      </c>
      <c r="G8" s="315">
        <v>0.1</v>
      </c>
      <c r="H8" s="315">
        <v>0.2</v>
      </c>
      <c r="I8" s="315">
        <v>0</v>
      </c>
      <c r="J8" s="315">
        <v>0</v>
      </c>
      <c r="K8" s="315">
        <v>0.2</v>
      </c>
      <c r="L8" s="315">
        <v>0.15</v>
      </c>
      <c r="M8" s="315">
        <v>0.35</v>
      </c>
      <c r="N8" s="315">
        <v>0</v>
      </c>
      <c r="O8" s="315">
        <v>0</v>
      </c>
      <c r="P8" s="315">
        <v>0</v>
      </c>
      <c r="Q8" s="315">
        <v>0</v>
      </c>
      <c r="R8" s="315">
        <v>0</v>
      </c>
      <c r="S8" s="315">
        <v>0</v>
      </c>
      <c r="T8" s="315">
        <v>0</v>
      </c>
      <c r="U8" s="315">
        <v>0</v>
      </c>
      <c r="V8" s="297"/>
      <c r="W8" s="298">
        <v>0</v>
      </c>
      <c r="X8" s="253" t="s">
        <v>204</v>
      </c>
      <c r="Y8" s="254" t="s">
        <v>205</v>
      </c>
      <c r="Z8" s="257" t="s">
        <v>208</v>
      </c>
      <c r="AA8" s="266" t="s">
        <v>209</v>
      </c>
      <c r="AB8" s="267" t="s">
        <v>210</v>
      </c>
      <c r="AC8" s="262"/>
      <c r="AD8" s="262"/>
      <c r="AE8" s="262"/>
      <c r="AF8" s="262"/>
      <c r="AG8" s="262"/>
      <c r="AH8" s="262"/>
      <c r="AI8" s="262"/>
      <c r="AJ8" s="262"/>
      <c r="AK8" s="267" t="s">
        <v>210</v>
      </c>
    </row>
    <row r="9" spans="1:37" x14ac:dyDescent="0.25">
      <c r="A9" t="s">
        <v>343</v>
      </c>
      <c r="B9" t="s">
        <v>334</v>
      </c>
      <c r="C9" t="s">
        <v>125</v>
      </c>
      <c r="D9" s="295">
        <v>588935.40300000005</v>
      </c>
      <c r="E9" s="314">
        <f>SUM(Tb_DISTR.FIN[[#This Row],[SET.25]:[DEZ.26]])</f>
        <v>1</v>
      </c>
      <c r="F9" s="315">
        <v>0.10754227250963888</v>
      </c>
      <c r="G9" s="315">
        <v>0.25</v>
      </c>
      <c r="H9" s="315">
        <v>0.35</v>
      </c>
      <c r="I9" s="315">
        <v>0.2</v>
      </c>
      <c r="J9" s="315">
        <v>9.2457727490361075E-2</v>
      </c>
      <c r="K9" s="315">
        <v>0</v>
      </c>
      <c r="L9" s="315">
        <v>0</v>
      </c>
      <c r="M9" s="315">
        <v>0</v>
      </c>
      <c r="N9" s="315">
        <v>0</v>
      </c>
      <c r="O9" s="315">
        <v>0</v>
      </c>
      <c r="P9" s="315">
        <v>0</v>
      </c>
      <c r="Q9" s="315">
        <v>0</v>
      </c>
      <c r="R9" s="315">
        <v>0</v>
      </c>
      <c r="S9" s="315">
        <v>0</v>
      </c>
      <c r="T9" s="315">
        <v>0</v>
      </c>
      <c r="U9" s="315">
        <v>0</v>
      </c>
      <c r="V9" s="297"/>
      <c r="W9" s="298">
        <v>0</v>
      </c>
      <c r="X9" s="263" t="s">
        <v>203</v>
      </c>
      <c r="Y9" s="253" t="s">
        <v>204</v>
      </c>
      <c r="Z9" s="253" t="s">
        <v>204</v>
      </c>
      <c r="AA9" s="254" t="s">
        <v>205</v>
      </c>
      <c r="AB9" s="255" t="s">
        <v>206</v>
      </c>
      <c r="AC9" s="262"/>
      <c r="AD9" s="262"/>
      <c r="AE9" s="262"/>
      <c r="AF9" s="262"/>
      <c r="AG9" s="262"/>
      <c r="AH9" s="262"/>
      <c r="AI9" s="262"/>
      <c r="AJ9" s="262"/>
      <c r="AK9" s="264" t="s">
        <v>207</v>
      </c>
    </row>
    <row r="10" spans="1:37" x14ac:dyDescent="0.25">
      <c r="A10" t="s">
        <v>173</v>
      </c>
      <c r="B10" t="s">
        <v>335</v>
      </c>
      <c r="C10" t="s">
        <v>125</v>
      </c>
      <c r="D10" s="295">
        <v>364522.26744000003</v>
      </c>
      <c r="E10" s="313">
        <f>SUM(Tb_DISTR.FIN[[#This Row],[SET.25]:[DEZ.26]])</f>
        <v>0.99999999999999989</v>
      </c>
      <c r="F10" s="315">
        <v>0</v>
      </c>
      <c r="G10" s="315">
        <v>9.6676913353549929E-2</v>
      </c>
      <c r="H10" s="315">
        <v>0.24169228338387483</v>
      </c>
      <c r="I10" s="315">
        <v>0.5616308032625752</v>
      </c>
      <c r="J10" s="315">
        <v>0.1</v>
      </c>
      <c r="K10" s="315">
        <v>0</v>
      </c>
      <c r="L10" s="315">
        <v>0</v>
      </c>
      <c r="M10" s="315">
        <v>0</v>
      </c>
      <c r="N10" s="315">
        <v>0</v>
      </c>
      <c r="O10" s="315">
        <v>0</v>
      </c>
      <c r="P10" s="315">
        <v>0</v>
      </c>
      <c r="Q10" s="315">
        <v>0</v>
      </c>
      <c r="R10" s="315">
        <v>0</v>
      </c>
      <c r="S10" s="315">
        <v>0</v>
      </c>
      <c r="T10" s="315">
        <v>0</v>
      </c>
      <c r="U10" s="315">
        <v>0</v>
      </c>
      <c r="V10" s="297"/>
      <c r="W10" s="298">
        <v>0</v>
      </c>
      <c r="X10" s="253" t="s">
        <v>204</v>
      </c>
      <c r="Y10" s="254" t="s">
        <v>205</v>
      </c>
      <c r="Z10" s="254" t="s">
        <v>205</v>
      </c>
      <c r="AA10" s="255" t="s">
        <v>206</v>
      </c>
      <c r="AB10" s="255" t="s">
        <v>206</v>
      </c>
      <c r="AC10" s="255" t="s">
        <v>206</v>
      </c>
      <c r="AD10" s="262"/>
      <c r="AE10" s="262"/>
      <c r="AF10" s="262"/>
      <c r="AG10" s="262"/>
      <c r="AH10" s="262"/>
      <c r="AI10" s="262"/>
      <c r="AJ10" s="262"/>
      <c r="AK10" s="264" t="s">
        <v>207</v>
      </c>
    </row>
    <row r="11" spans="1:37" x14ac:dyDescent="0.25">
      <c r="A11" t="s">
        <v>147</v>
      </c>
      <c r="B11" t="s">
        <v>336</v>
      </c>
      <c r="C11" t="s">
        <v>125</v>
      </c>
      <c r="D11" s="295">
        <v>718931.28384000005</v>
      </c>
      <c r="E11" s="314">
        <f>SUM(Tb_DISTR.FIN[[#This Row],[SET.25]:[DEZ.26]])</f>
        <v>1</v>
      </c>
      <c r="F11" s="315">
        <v>0.10754250835634356</v>
      </c>
      <c r="G11" s="315">
        <v>0.5</v>
      </c>
      <c r="H11" s="315">
        <v>0.39245749164365645</v>
      </c>
      <c r="I11" s="315">
        <v>0</v>
      </c>
      <c r="J11" s="315">
        <v>0</v>
      </c>
      <c r="K11" s="315">
        <v>0</v>
      </c>
      <c r="L11" s="315">
        <v>0</v>
      </c>
      <c r="M11" s="315">
        <v>0</v>
      </c>
      <c r="N11" s="315">
        <v>0</v>
      </c>
      <c r="O11" s="315">
        <v>0</v>
      </c>
      <c r="P11" s="315">
        <v>0</v>
      </c>
      <c r="Q11" s="315">
        <v>0</v>
      </c>
      <c r="R11" s="315">
        <v>0</v>
      </c>
      <c r="S11" s="315">
        <v>0</v>
      </c>
      <c r="T11" s="315">
        <v>0</v>
      </c>
      <c r="U11" s="315">
        <v>0</v>
      </c>
      <c r="V11" s="297"/>
      <c r="W11" s="298">
        <v>0</v>
      </c>
      <c r="X11" s="263" t="s">
        <v>203</v>
      </c>
      <c r="Y11" s="253" t="s">
        <v>204</v>
      </c>
      <c r="Z11" s="253" t="s">
        <v>204</v>
      </c>
      <c r="AA11" s="254" t="s">
        <v>205</v>
      </c>
      <c r="AB11" s="262"/>
      <c r="AC11" s="262"/>
      <c r="AD11" s="262"/>
      <c r="AE11" s="262"/>
      <c r="AF11" s="262"/>
      <c r="AG11" s="262"/>
      <c r="AH11" s="262"/>
      <c r="AI11" s="262"/>
      <c r="AJ11" s="262"/>
      <c r="AK11" s="254" t="s">
        <v>205</v>
      </c>
    </row>
    <row r="12" spans="1:37" x14ac:dyDescent="0.25">
      <c r="A12" t="s">
        <v>148</v>
      </c>
      <c r="B12" t="s">
        <v>337</v>
      </c>
      <c r="C12" t="s">
        <v>125</v>
      </c>
      <c r="D12" s="299">
        <v>1144868.57748</v>
      </c>
      <c r="E12" s="313">
        <f>SUM(Tb_DISTR.FIN[[#This Row],[SET.25]:[DEZ.26]])</f>
        <v>1</v>
      </c>
      <c r="F12" s="315">
        <v>0</v>
      </c>
      <c r="G12" s="315">
        <v>0.1</v>
      </c>
      <c r="H12" s="315">
        <v>0.2</v>
      </c>
      <c r="I12" s="315">
        <v>0</v>
      </c>
      <c r="J12" s="315">
        <v>0.1</v>
      </c>
      <c r="K12" s="315">
        <v>0</v>
      </c>
      <c r="L12" s="315">
        <v>0.6</v>
      </c>
      <c r="M12" s="315">
        <v>0</v>
      </c>
      <c r="N12" s="315">
        <v>0</v>
      </c>
      <c r="O12" s="315">
        <v>0</v>
      </c>
      <c r="P12" s="315">
        <v>0</v>
      </c>
      <c r="Q12" s="315">
        <v>0</v>
      </c>
      <c r="R12" s="315">
        <v>0</v>
      </c>
      <c r="S12" s="315">
        <v>0</v>
      </c>
      <c r="T12" s="315">
        <v>0</v>
      </c>
      <c r="U12" s="315">
        <v>0</v>
      </c>
      <c r="V12" s="297"/>
      <c r="W12" s="298">
        <v>0</v>
      </c>
      <c r="X12" s="253" t="s">
        <v>204</v>
      </c>
      <c r="Y12" s="254" t="s">
        <v>205</v>
      </c>
      <c r="Z12" s="256" t="s">
        <v>207</v>
      </c>
      <c r="AA12" s="258" t="s">
        <v>209</v>
      </c>
      <c r="AB12" s="258" t="s">
        <v>209</v>
      </c>
      <c r="AC12" s="262"/>
      <c r="AD12" s="262"/>
      <c r="AE12" s="262"/>
      <c r="AF12" s="262"/>
      <c r="AG12" s="262"/>
      <c r="AH12" s="262"/>
      <c r="AI12" s="262"/>
      <c r="AJ12" s="262"/>
      <c r="AK12" s="258" t="s">
        <v>209</v>
      </c>
    </row>
    <row r="13" spans="1:37" x14ac:dyDescent="0.25">
      <c r="A13" s="300" t="s">
        <v>131</v>
      </c>
      <c r="B13" s="300" t="s">
        <v>238</v>
      </c>
      <c r="C13" s="300" t="s">
        <v>124</v>
      </c>
      <c r="D13" s="301">
        <v>0</v>
      </c>
      <c r="E13" s="316">
        <f>SUM(Tb_DISTR.FIN[[#This Row],[SET.25]:[DEZ.26]])</f>
        <v>0</v>
      </c>
      <c r="F13" s="317">
        <v>0</v>
      </c>
      <c r="G13" s="317">
        <v>0</v>
      </c>
      <c r="H13" s="317">
        <v>0</v>
      </c>
      <c r="I13" s="317">
        <v>0</v>
      </c>
      <c r="J13" s="317">
        <v>0</v>
      </c>
      <c r="K13" s="317">
        <v>0</v>
      </c>
      <c r="L13" s="317">
        <v>0</v>
      </c>
      <c r="M13" s="317">
        <v>0</v>
      </c>
      <c r="N13" s="317">
        <v>0</v>
      </c>
      <c r="O13" s="317">
        <v>0</v>
      </c>
      <c r="P13" s="317">
        <v>0</v>
      </c>
      <c r="Q13" s="317">
        <v>0</v>
      </c>
      <c r="R13" s="317">
        <v>0</v>
      </c>
      <c r="S13" s="317">
        <v>0</v>
      </c>
      <c r="T13" s="317">
        <v>0</v>
      </c>
      <c r="U13" s="317">
        <v>0</v>
      </c>
      <c r="V13" s="297"/>
      <c r="W13" s="302">
        <v>0</v>
      </c>
      <c r="X13" s="252"/>
      <c r="Y13" s="252"/>
      <c r="Z13" s="252"/>
      <c r="AA13" s="252"/>
      <c r="AB13" s="252"/>
      <c r="AC13" s="252"/>
      <c r="AD13" s="252"/>
      <c r="AE13" s="252"/>
      <c r="AF13" s="252"/>
      <c r="AG13" s="252"/>
      <c r="AH13" s="252"/>
      <c r="AI13" s="252"/>
      <c r="AJ13" s="252"/>
      <c r="AK13" s="252"/>
    </row>
    <row r="14" spans="1:37" x14ac:dyDescent="0.25">
      <c r="A14" t="s">
        <v>132</v>
      </c>
      <c r="B14" t="s">
        <v>239</v>
      </c>
      <c r="C14" t="s">
        <v>124</v>
      </c>
      <c r="D14" s="295">
        <v>1662818.2901999999</v>
      </c>
      <c r="E14" s="313">
        <f>SUM(Tb_DISTR.FIN[[#This Row],[SET.25]:[DEZ.26]])</f>
        <v>1</v>
      </c>
      <c r="F14" s="315">
        <v>0</v>
      </c>
      <c r="G14" s="315">
        <v>0.1</v>
      </c>
      <c r="H14" s="315">
        <v>0.2</v>
      </c>
      <c r="I14" s="315">
        <v>0.27</v>
      </c>
      <c r="J14" s="315">
        <v>0.08</v>
      </c>
      <c r="K14" s="315">
        <v>7.0000000000000007E-2</v>
      </c>
      <c r="L14" s="315">
        <v>0.09</v>
      </c>
      <c r="M14" s="315">
        <v>0.05</v>
      </c>
      <c r="N14" s="315">
        <v>0.14000000000000001</v>
      </c>
      <c r="O14" s="315">
        <v>0</v>
      </c>
      <c r="P14" s="315">
        <v>0</v>
      </c>
      <c r="Q14" s="315">
        <v>0</v>
      </c>
      <c r="R14" s="315">
        <v>0</v>
      </c>
      <c r="S14" s="315">
        <v>0</v>
      </c>
      <c r="T14" s="315">
        <v>0</v>
      </c>
      <c r="U14" s="315">
        <v>0</v>
      </c>
      <c r="V14" s="297"/>
      <c r="W14" s="298">
        <v>0</v>
      </c>
      <c r="X14" s="253" t="s">
        <v>204</v>
      </c>
      <c r="Y14" s="254" t="s">
        <v>205</v>
      </c>
      <c r="Z14" s="255" t="s">
        <v>206</v>
      </c>
      <c r="AA14" s="255" t="s">
        <v>206</v>
      </c>
      <c r="AB14" s="255" t="s">
        <v>206</v>
      </c>
      <c r="AC14" s="255" t="s">
        <v>206</v>
      </c>
      <c r="AD14" s="264" t="s">
        <v>207</v>
      </c>
      <c r="AE14" s="265" t="s">
        <v>208</v>
      </c>
      <c r="AF14" s="266" t="s">
        <v>209</v>
      </c>
      <c r="AG14" s="267" t="s">
        <v>210</v>
      </c>
      <c r="AH14" s="268" t="s">
        <v>211</v>
      </c>
      <c r="AI14" s="262"/>
      <c r="AJ14" s="262"/>
      <c r="AK14" s="268" t="s">
        <v>211</v>
      </c>
    </row>
    <row r="15" spans="1:37" x14ac:dyDescent="0.25">
      <c r="A15" t="s">
        <v>133</v>
      </c>
      <c r="B15" t="s">
        <v>240</v>
      </c>
      <c r="C15" t="s">
        <v>124</v>
      </c>
      <c r="D15" s="295">
        <v>228497.33</v>
      </c>
      <c r="E15" s="314">
        <f>SUM(Tb_DISTR.FIN[[#This Row],[SET.25]:[DEZ.26]])</f>
        <v>1</v>
      </c>
      <c r="F15" s="315">
        <v>0</v>
      </c>
      <c r="G15" s="315">
        <v>0.30000000000000004</v>
      </c>
      <c r="H15" s="315">
        <v>0.2</v>
      </c>
      <c r="I15" s="315">
        <v>0.15</v>
      </c>
      <c r="J15" s="315">
        <v>0.35</v>
      </c>
      <c r="K15" s="315">
        <v>0</v>
      </c>
      <c r="L15" s="315">
        <v>0</v>
      </c>
      <c r="M15" s="315">
        <v>0</v>
      </c>
      <c r="N15" s="315">
        <v>0</v>
      </c>
      <c r="O15" s="315">
        <v>0</v>
      </c>
      <c r="P15" s="315">
        <v>0</v>
      </c>
      <c r="Q15" s="315">
        <v>0</v>
      </c>
      <c r="R15" s="315">
        <v>0</v>
      </c>
      <c r="S15" s="315">
        <v>0</v>
      </c>
      <c r="T15" s="315">
        <v>0</v>
      </c>
      <c r="U15" s="315">
        <v>0</v>
      </c>
      <c r="V15" s="297"/>
      <c r="W15" s="298">
        <v>0</v>
      </c>
      <c r="X15" s="253" t="s">
        <v>204</v>
      </c>
      <c r="Y15" s="253" t="s">
        <v>204</v>
      </c>
      <c r="Z15" s="254" t="s">
        <v>205</v>
      </c>
      <c r="AA15" s="264" t="s">
        <v>207</v>
      </c>
      <c r="AB15" s="255" t="s">
        <v>206</v>
      </c>
      <c r="AC15" s="262"/>
      <c r="AD15" s="262"/>
      <c r="AE15" s="262"/>
      <c r="AF15" s="262"/>
      <c r="AG15" s="262"/>
      <c r="AH15" s="262"/>
      <c r="AI15" s="262"/>
      <c r="AJ15" s="262"/>
      <c r="AK15" s="264" t="s">
        <v>207</v>
      </c>
    </row>
    <row r="16" spans="1:37" x14ac:dyDescent="0.25">
      <c r="A16" s="275" t="s">
        <v>170</v>
      </c>
      <c r="B16" s="275" t="s">
        <v>241</v>
      </c>
      <c r="C16" s="275" t="s">
        <v>124</v>
      </c>
      <c r="D16" s="303">
        <v>1233914.5200000003</v>
      </c>
      <c r="E16" s="313">
        <f>SUM(Tb_DISTR.FIN[[#This Row],[SET.25]:[DEZ.26]])</f>
        <v>1</v>
      </c>
      <c r="F16" s="315">
        <v>0</v>
      </c>
      <c r="G16" s="315">
        <v>0</v>
      </c>
      <c r="H16" s="315">
        <v>0.30000000000000004</v>
      </c>
      <c r="I16" s="315">
        <v>0.08</v>
      </c>
      <c r="J16" s="315">
        <v>0.1</v>
      </c>
      <c r="K16" s="315">
        <v>0.1</v>
      </c>
      <c r="L16" s="315">
        <v>0.09</v>
      </c>
      <c r="M16" s="315">
        <v>0.09</v>
      </c>
      <c r="N16" s="315">
        <v>0.09</v>
      </c>
      <c r="O16" s="315">
        <v>0.15000000000000002</v>
      </c>
      <c r="P16" s="315">
        <v>0</v>
      </c>
      <c r="Q16" s="315">
        <v>0</v>
      </c>
      <c r="R16" s="315">
        <v>0</v>
      </c>
      <c r="S16" s="315">
        <v>0</v>
      </c>
      <c r="T16" s="315">
        <v>0</v>
      </c>
      <c r="U16" s="315">
        <v>0</v>
      </c>
      <c r="V16" s="297"/>
      <c r="W16" s="304">
        <v>0</v>
      </c>
      <c r="X16" s="254" t="s">
        <v>205</v>
      </c>
      <c r="Y16" s="254" t="s">
        <v>205</v>
      </c>
      <c r="Z16" s="255" t="s">
        <v>206</v>
      </c>
      <c r="AA16" s="256" t="s">
        <v>207</v>
      </c>
      <c r="AB16" s="257" t="s">
        <v>208</v>
      </c>
      <c r="AC16" s="258" t="s">
        <v>209</v>
      </c>
      <c r="AD16" s="259" t="s">
        <v>210</v>
      </c>
      <c r="AE16" s="260" t="s">
        <v>211</v>
      </c>
      <c r="AF16" s="261" t="s">
        <v>212</v>
      </c>
      <c r="AG16" s="269"/>
      <c r="AH16" s="269"/>
      <c r="AI16" s="269"/>
      <c r="AJ16" s="269"/>
      <c r="AK16" s="261" t="s">
        <v>212</v>
      </c>
    </row>
    <row r="17" spans="1:37" s="15" customFormat="1" x14ac:dyDescent="0.25">
      <c r="A17" s="275" t="s">
        <v>174</v>
      </c>
      <c r="B17" s="275" t="s">
        <v>242</v>
      </c>
      <c r="C17" s="275" t="s">
        <v>125</v>
      </c>
      <c r="D17" s="303">
        <v>196612.97435999999</v>
      </c>
      <c r="E17" s="314">
        <f>SUM(Tb_DISTR.FIN[[#This Row],[SET.25]:[DEZ.26]])</f>
        <v>1</v>
      </c>
      <c r="F17" s="315">
        <v>0</v>
      </c>
      <c r="G17" s="315">
        <v>0</v>
      </c>
      <c r="H17" s="315">
        <v>0.30000000000000004</v>
      </c>
      <c r="I17" s="315">
        <v>0</v>
      </c>
      <c r="J17" s="315">
        <v>0</v>
      </c>
      <c r="K17" s="315">
        <v>0.7</v>
      </c>
      <c r="L17" s="315">
        <v>0</v>
      </c>
      <c r="M17" s="315">
        <v>0</v>
      </c>
      <c r="N17" s="315">
        <v>0</v>
      </c>
      <c r="O17" s="315">
        <v>0</v>
      </c>
      <c r="P17" s="315">
        <v>0</v>
      </c>
      <c r="Q17" s="315">
        <v>0</v>
      </c>
      <c r="R17" s="315">
        <v>0</v>
      </c>
      <c r="S17" s="315">
        <v>0</v>
      </c>
      <c r="T17" s="315">
        <v>0</v>
      </c>
      <c r="U17" s="315">
        <v>0</v>
      </c>
      <c r="V17" s="297"/>
      <c r="W17" s="304">
        <v>0</v>
      </c>
      <c r="X17" s="254" t="s">
        <v>205</v>
      </c>
      <c r="Y17" s="254" t="s">
        <v>205</v>
      </c>
      <c r="Z17" s="257" t="s">
        <v>208</v>
      </c>
      <c r="AA17" s="257" t="s">
        <v>208</v>
      </c>
      <c r="AB17" s="257" t="s">
        <v>208</v>
      </c>
      <c r="AC17" s="269"/>
      <c r="AD17" s="269"/>
      <c r="AE17" s="269"/>
      <c r="AF17" s="269"/>
      <c r="AG17" s="269"/>
      <c r="AH17" s="269"/>
      <c r="AI17" s="269"/>
      <c r="AJ17" s="269"/>
      <c r="AK17" s="257" t="s">
        <v>208</v>
      </c>
    </row>
    <row r="18" spans="1:37" x14ac:dyDescent="0.25">
      <c r="A18" t="s">
        <v>183</v>
      </c>
      <c r="B18" t="s">
        <v>243</v>
      </c>
      <c r="C18" t="s">
        <v>124</v>
      </c>
      <c r="D18" s="295">
        <v>90327.897311399996</v>
      </c>
      <c r="E18" s="313">
        <f>SUM(Tb_DISTR.FIN[[#This Row],[SET.25]:[DEZ.26]])</f>
        <v>1</v>
      </c>
      <c r="F18" s="315">
        <v>0</v>
      </c>
      <c r="G18" s="315">
        <v>0</v>
      </c>
      <c r="H18" s="315">
        <v>0.75000000000000011</v>
      </c>
      <c r="I18" s="315">
        <v>0.25</v>
      </c>
      <c r="J18" s="315">
        <v>0</v>
      </c>
      <c r="K18" s="315">
        <v>0</v>
      </c>
      <c r="L18" s="315">
        <v>0</v>
      </c>
      <c r="M18" s="315">
        <v>0</v>
      </c>
      <c r="N18" s="315">
        <v>0</v>
      </c>
      <c r="O18" s="315">
        <v>0</v>
      </c>
      <c r="P18" s="315">
        <v>0</v>
      </c>
      <c r="Q18" s="315">
        <v>0</v>
      </c>
      <c r="R18" s="315">
        <v>0</v>
      </c>
      <c r="S18" s="315">
        <v>0</v>
      </c>
      <c r="T18" s="315">
        <v>0</v>
      </c>
      <c r="U18" s="315">
        <v>0</v>
      </c>
      <c r="V18" s="297"/>
      <c r="W18" s="298">
        <v>0</v>
      </c>
      <c r="X18" s="254" t="s">
        <v>205</v>
      </c>
      <c r="Y18" s="254" t="s">
        <v>205</v>
      </c>
      <c r="Z18" s="254" t="s">
        <v>205</v>
      </c>
      <c r="AA18" s="254" t="s">
        <v>205</v>
      </c>
      <c r="AB18" s="255" t="s">
        <v>206</v>
      </c>
      <c r="AC18" s="262"/>
      <c r="AD18" s="262"/>
      <c r="AE18" s="262"/>
      <c r="AF18" s="262"/>
      <c r="AG18" s="262"/>
      <c r="AH18" s="262"/>
      <c r="AI18" s="262"/>
      <c r="AJ18" s="262"/>
      <c r="AK18" s="255" t="s">
        <v>206</v>
      </c>
    </row>
    <row r="19" spans="1:37" x14ac:dyDescent="0.25">
      <c r="A19" t="s">
        <v>191</v>
      </c>
      <c r="B19" t="s">
        <v>244</v>
      </c>
      <c r="C19" t="s">
        <v>125</v>
      </c>
      <c r="D19" s="295">
        <v>9890.6360400000012</v>
      </c>
      <c r="E19" s="314">
        <f>SUM(Tb_DISTR.FIN[[#This Row],[SET.25]:[DEZ.26]])</f>
        <v>0.99999999999999989</v>
      </c>
      <c r="F19" s="315">
        <v>0</v>
      </c>
      <c r="G19" s="315">
        <v>0</v>
      </c>
      <c r="H19" s="315">
        <v>0.34753041641594751</v>
      </c>
      <c r="I19" s="315">
        <v>0.32623479179202619</v>
      </c>
      <c r="J19" s="315">
        <v>0.32623479179202619</v>
      </c>
      <c r="K19" s="315">
        <v>0</v>
      </c>
      <c r="L19" s="315">
        <v>0</v>
      </c>
      <c r="M19" s="315">
        <v>0</v>
      </c>
      <c r="N19" s="315">
        <v>0</v>
      </c>
      <c r="O19" s="315">
        <v>0</v>
      </c>
      <c r="P19" s="315">
        <v>0</v>
      </c>
      <c r="Q19" s="315">
        <v>0</v>
      </c>
      <c r="R19" s="315">
        <v>0</v>
      </c>
      <c r="S19" s="315">
        <v>0</v>
      </c>
      <c r="T19" s="315">
        <v>0</v>
      </c>
      <c r="U19" s="315">
        <v>0</v>
      </c>
      <c r="V19" s="297"/>
      <c r="W19" s="298">
        <v>0</v>
      </c>
      <c r="X19" s="254" t="s">
        <v>205</v>
      </c>
      <c r="Y19" s="254" t="s">
        <v>205</v>
      </c>
      <c r="Z19" s="254" t="s">
        <v>205</v>
      </c>
      <c r="AA19" s="255" t="s">
        <v>206</v>
      </c>
      <c r="AB19" s="264" t="s">
        <v>207</v>
      </c>
      <c r="AC19" s="262"/>
      <c r="AD19" s="262"/>
      <c r="AE19" s="262"/>
      <c r="AF19" s="262"/>
      <c r="AG19" s="262"/>
      <c r="AH19" s="262"/>
      <c r="AI19" s="262"/>
      <c r="AJ19" s="262"/>
      <c r="AK19" s="274"/>
    </row>
    <row r="20" spans="1:37" x14ac:dyDescent="0.25">
      <c r="A20" s="300" t="s">
        <v>192</v>
      </c>
      <c r="B20" s="300" t="s">
        <v>245</v>
      </c>
      <c r="C20" s="300" t="s">
        <v>125</v>
      </c>
      <c r="D20" s="301">
        <v>0</v>
      </c>
      <c r="E20" s="316">
        <f>SUM(Tb_DISTR.FIN[[#This Row],[SET.25]:[DEZ.26]])</f>
        <v>0</v>
      </c>
      <c r="F20" s="317">
        <v>0</v>
      </c>
      <c r="G20" s="317">
        <v>0</v>
      </c>
      <c r="H20" s="317">
        <v>0</v>
      </c>
      <c r="I20" s="317">
        <v>0</v>
      </c>
      <c r="J20" s="317">
        <v>0</v>
      </c>
      <c r="K20" s="317">
        <v>0</v>
      </c>
      <c r="L20" s="317">
        <v>0</v>
      </c>
      <c r="M20" s="317">
        <v>0</v>
      </c>
      <c r="N20" s="317">
        <v>0</v>
      </c>
      <c r="O20" s="317">
        <v>0</v>
      </c>
      <c r="P20" s="317">
        <v>0</v>
      </c>
      <c r="Q20" s="317">
        <v>0</v>
      </c>
      <c r="R20" s="317">
        <v>0</v>
      </c>
      <c r="S20" s="317">
        <v>0</v>
      </c>
      <c r="T20" s="317">
        <v>0</v>
      </c>
      <c r="U20" s="317">
        <v>0</v>
      </c>
      <c r="V20" s="297"/>
      <c r="W20" s="302">
        <v>0</v>
      </c>
      <c r="X20" s="252"/>
      <c r="Y20" s="252"/>
      <c r="Z20" s="252"/>
      <c r="AA20" s="252"/>
      <c r="AB20" s="252"/>
      <c r="AC20" s="252"/>
      <c r="AD20" s="252"/>
      <c r="AE20" s="252"/>
      <c r="AF20" s="252"/>
      <c r="AG20" s="252"/>
      <c r="AH20" s="252"/>
      <c r="AI20" s="252"/>
      <c r="AJ20" s="252"/>
      <c r="AK20" s="252"/>
    </row>
    <row r="21" spans="1:37" x14ac:dyDescent="0.25">
      <c r="A21" s="275" t="s">
        <v>219</v>
      </c>
      <c r="B21" s="275" t="s">
        <v>242</v>
      </c>
      <c r="C21" s="275" t="s">
        <v>246</v>
      </c>
      <c r="D21" s="303">
        <v>117731.57525999998</v>
      </c>
      <c r="E21" s="314">
        <f>SUM(Tb_DISTR.FIN[[#This Row],[SET.25]:[DEZ.26]])</f>
        <v>1</v>
      </c>
      <c r="F21" s="315">
        <v>0</v>
      </c>
      <c r="G21" s="315">
        <v>0</v>
      </c>
      <c r="H21" s="315">
        <v>0.1</v>
      </c>
      <c r="I21" s="315">
        <v>0.65</v>
      </c>
      <c r="J21" s="315">
        <v>0.25</v>
      </c>
      <c r="K21" s="315">
        <v>0</v>
      </c>
      <c r="L21" s="315">
        <v>0</v>
      </c>
      <c r="M21" s="315">
        <v>0</v>
      </c>
      <c r="N21" s="315">
        <v>0</v>
      </c>
      <c r="O21" s="315">
        <v>0</v>
      </c>
      <c r="P21" s="315">
        <v>0</v>
      </c>
      <c r="Q21" s="315">
        <v>0</v>
      </c>
      <c r="R21" s="315">
        <v>0</v>
      </c>
      <c r="S21" s="315">
        <v>0</v>
      </c>
      <c r="T21" s="315">
        <v>0</v>
      </c>
      <c r="U21" s="315">
        <v>0</v>
      </c>
      <c r="V21" s="297"/>
      <c r="W21" s="304">
        <v>0</v>
      </c>
      <c r="X21" s="254" t="s">
        <v>205</v>
      </c>
      <c r="Y21" s="255" t="s">
        <v>206</v>
      </c>
      <c r="Z21" s="255" t="s">
        <v>206</v>
      </c>
      <c r="AA21" s="255" t="s">
        <v>206</v>
      </c>
      <c r="AB21" s="264" t="s">
        <v>207</v>
      </c>
      <c r="AC21" s="269"/>
      <c r="AD21" s="269"/>
      <c r="AE21" s="269"/>
      <c r="AF21" s="269"/>
      <c r="AG21" s="269"/>
      <c r="AH21" s="269"/>
      <c r="AI21" s="269"/>
      <c r="AJ21" s="269"/>
      <c r="AK21" s="256" t="s">
        <v>207</v>
      </c>
    </row>
    <row r="22" spans="1:37" x14ac:dyDescent="0.25">
      <c r="A22" s="275" t="s">
        <v>193</v>
      </c>
      <c r="B22" s="275" t="s">
        <v>247</v>
      </c>
      <c r="C22" s="275" t="s">
        <v>125</v>
      </c>
      <c r="D22" s="303">
        <v>9395.5402799999993</v>
      </c>
      <c r="E22" s="313">
        <f>SUM(Tb_DISTR.FIN[[#This Row],[SET.25]:[DEZ.26]])</f>
        <v>1</v>
      </c>
      <c r="F22" s="315">
        <v>0</v>
      </c>
      <c r="G22" s="315">
        <v>0</v>
      </c>
      <c r="H22" s="315">
        <v>0.1</v>
      </c>
      <c r="I22" s="315">
        <v>0.9</v>
      </c>
      <c r="J22" s="315">
        <v>0</v>
      </c>
      <c r="K22" s="315">
        <v>0</v>
      </c>
      <c r="L22" s="315">
        <v>0</v>
      </c>
      <c r="M22" s="315">
        <v>0</v>
      </c>
      <c r="N22" s="315">
        <v>0</v>
      </c>
      <c r="O22" s="315">
        <v>0</v>
      </c>
      <c r="P22" s="315">
        <v>0</v>
      </c>
      <c r="Q22" s="315">
        <v>0</v>
      </c>
      <c r="R22" s="315">
        <v>0</v>
      </c>
      <c r="S22" s="315">
        <v>0</v>
      </c>
      <c r="T22" s="315">
        <v>0</v>
      </c>
      <c r="U22" s="315">
        <v>0</v>
      </c>
      <c r="V22" s="297"/>
      <c r="W22" s="304">
        <v>0</v>
      </c>
      <c r="X22" s="254" t="s">
        <v>205</v>
      </c>
      <c r="Y22" s="255" t="s">
        <v>206</v>
      </c>
      <c r="Z22" s="255" t="s">
        <v>206</v>
      </c>
      <c r="AA22" s="269"/>
      <c r="AB22" s="269"/>
      <c r="AC22" s="269"/>
      <c r="AD22" s="269"/>
      <c r="AE22" s="269"/>
      <c r="AF22" s="269"/>
      <c r="AG22" s="269"/>
      <c r="AH22" s="269"/>
      <c r="AI22" s="269"/>
      <c r="AJ22" s="269"/>
      <c r="AK22" s="255" t="s">
        <v>206</v>
      </c>
    </row>
    <row r="23" spans="1:37" x14ac:dyDescent="0.25">
      <c r="A23" s="275" t="s">
        <v>195</v>
      </c>
      <c r="B23" s="275" t="s">
        <v>248</v>
      </c>
      <c r="C23" s="275" t="s">
        <v>124</v>
      </c>
      <c r="D23" s="303">
        <v>403913.19</v>
      </c>
      <c r="E23" s="314">
        <f>SUM(Tb_DISTR.FIN[[#This Row],[SET.25]:[DEZ.26]])</f>
        <v>1</v>
      </c>
      <c r="F23" s="315">
        <v>0</v>
      </c>
      <c r="G23" s="315">
        <v>0</v>
      </c>
      <c r="H23" s="315">
        <v>6.1302207041072365E-2</v>
      </c>
      <c r="I23" s="315">
        <v>0.12260441408214473</v>
      </c>
      <c r="J23" s="315">
        <v>0.1471253018501327</v>
      </c>
      <c r="K23" s="315">
        <v>0.29575000000000001</v>
      </c>
      <c r="L23" s="315">
        <v>0.15712000000000001</v>
      </c>
      <c r="M23" s="315">
        <v>0.21609807702665024</v>
      </c>
      <c r="N23" s="315">
        <v>0</v>
      </c>
      <c r="O23" s="315">
        <v>0</v>
      </c>
      <c r="P23" s="315">
        <v>0</v>
      </c>
      <c r="Q23" s="315">
        <v>0</v>
      </c>
      <c r="R23" s="315">
        <v>0</v>
      </c>
      <c r="S23" s="315">
        <v>0</v>
      </c>
      <c r="T23" s="315">
        <v>0</v>
      </c>
      <c r="U23" s="315">
        <v>0</v>
      </c>
      <c r="V23" s="297"/>
      <c r="W23" s="304">
        <v>0</v>
      </c>
      <c r="X23" s="254" t="s">
        <v>205</v>
      </c>
      <c r="Y23" s="255" t="s">
        <v>206</v>
      </c>
      <c r="Z23" s="264" t="s">
        <v>207</v>
      </c>
      <c r="AA23" s="264" t="s">
        <v>207</v>
      </c>
      <c r="AB23" s="266" t="s">
        <v>209</v>
      </c>
      <c r="AC23" s="266" t="s">
        <v>209</v>
      </c>
      <c r="AD23" s="265" t="s">
        <v>208</v>
      </c>
      <c r="AE23" s="265" t="s">
        <v>208</v>
      </c>
      <c r="AF23" s="265" t="s">
        <v>208</v>
      </c>
      <c r="AG23" s="267" t="s">
        <v>210</v>
      </c>
      <c r="AH23" s="266" t="s">
        <v>209</v>
      </c>
      <c r="AI23" s="269"/>
      <c r="AJ23" s="269"/>
      <c r="AK23" s="267" t="s">
        <v>210</v>
      </c>
    </row>
    <row r="24" spans="1:37" x14ac:dyDescent="0.25">
      <c r="A24" s="300" t="s">
        <v>251</v>
      </c>
      <c r="B24" s="300" t="s">
        <v>293</v>
      </c>
      <c r="C24" s="300" t="s">
        <v>125</v>
      </c>
      <c r="D24" s="301">
        <v>0</v>
      </c>
      <c r="E24" s="316">
        <f>SUM(Tb_DISTR.FIN[[#This Row],[SET.25]:[DEZ.26]])</f>
        <v>0</v>
      </c>
      <c r="F24" s="317">
        <v>0</v>
      </c>
      <c r="G24" s="317">
        <v>0</v>
      </c>
      <c r="H24" s="317">
        <v>0</v>
      </c>
      <c r="I24" s="317">
        <v>0</v>
      </c>
      <c r="J24" s="317">
        <v>0</v>
      </c>
      <c r="K24" s="317">
        <v>0</v>
      </c>
      <c r="L24" s="317">
        <v>0</v>
      </c>
      <c r="M24" s="317">
        <v>0</v>
      </c>
      <c r="N24" s="317">
        <v>0</v>
      </c>
      <c r="O24" s="317">
        <v>0</v>
      </c>
      <c r="P24" s="317">
        <v>0</v>
      </c>
      <c r="Q24" s="317">
        <v>0</v>
      </c>
      <c r="R24" s="317">
        <v>0</v>
      </c>
      <c r="S24" s="317">
        <v>0</v>
      </c>
      <c r="T24" s="317">
        <v>0</v>
      </c>
      <c r="U24" s="317">
        <v>0</v>
      </c>
      <c r="V24" s="305"/>
      <c r="W24" s="302">
        <v>0</v>
      </c>
      <c r="X24" s="252"/>
      <c r="Y24" s="252"/>
      <c r="Z24" s="252"/>
      <c r="AA24" s="252"/>
      <c r="AB24" s="252"/>
      <c r="AC24" s="252"/>
      <c r="AD24" s="252"/>
      <c r="AE24" s="252"/>
      <c r="AF24" s="252"/>
      <c r="AG24" s="252"/>
      <c r="AH24" s="252"/>
      <c r="AI24" s="252"/>
      <c r="AJ24" s="252"/>
      <c r="AK24" s="252"/>
    </row>
    <row r="25" spans="1:37" x14ac:dyDescent="0.25">
      <c r="A25" s="275" t="s">
        <v>304</v>
      </c>
      <c r="B25" s="275" t="s">
        <v>323</v>
      </c>
      <c r="C25" s="275" t="s">
        <v>125</v>
      </c>
      <c r="D25" s="303">
        <v>1125967.97034</v>
      </c>
      <c r="E25" s="313">
        <f>SUM(Tb_DISTR.FIN[[#This Row],[SET.25]:[DEZ.26]])</f>
        <v>1</v>
      </c>
      <c r="F25" s="315">
        <v>0</v>
      </c>
      <c r="G25" s="315">
        <v>0</v>
      </c>
      <c r="H25" s="315">
        <v>0</v>
      </c>
      <c r="I25" s="315">
        <v>0.1</v>
      </c>
      <c r="J25" s="315">
        <v>0.2</v>
      </c>
      <c r="K25" s="315">
        <v>0.16</v>
      </c>
      <c r="L25" s="315">
        <v>0.24</v>
      </c>
      <c r="M25" s="315">
        <v>0.1</v>
      </c>
      <c r="N25" s="315">
        <v>0.1</v>
      </c>
      <c r="O25" s="315">
        <v>0.1</v>
      </c>
      <c r="P25" s="315">
        <v>0</v>
      </c>
      <c r="Q25" s="315">
        <v>0</v>
      </c>
      <c r="R25" s="315">
        <v>0</v>
      </c>
      <c r="S25" s="315">
        <v>0</v>
      </c>
      <c r="T25" s="315">
        <v>0</v>
      </c>
      <c r="U25" s="315">
        <v>0</v>
      </c>
      <c r="V25" s="305"/>
      <c r="W25" s="304">
        <v>0</v>
      </c>
      <c r="X25" s="270" t="s">
        <v>206</v>
      </c>
      <c r="Y25" s="256" t="s">
        <v>207</v>
      </c>
      <c r="Z25" s="265" t="s">
        <v>208</v>
      </c>
      <c r="AA25" s="265" t="s">
        <v>208</v>
      </c>
      <c r="AB25" s="266" t="s">
        <v>209</v>
      </c>
      <c r="AC25" s="266" t="s">
        <v>209</v>
      </c>
      <c r="AD25" s="267" t="s">
        <v>210</v>
      </c>
      <c r="AE25" s="268" t="s">
        <v>211</v>
      </c>
      <c r="AF25" s="269"/>
      <c r="AG25" s="269"/>
      <c r="AH25" s="269"/>
      <c r="AI25" s="269"/>
      <c r="AJ25" s="269"/>
      <c r="AK25" s="272" t="s">
        <v>212</v>
      </c>
    </row>
    <row r="26" spans="1:37" x14ac:dyDescent="0.25">
      <c r="A26" s="275" t="s">
        <v>305</v>
      </c>
      <c r="B26" s="275" t="s">
        <v>324</v>
      </c>
      <c r="C26" s="275" t="s">
        <v>125</v>
      </c>
      <c r="D26" s="303">
        <v>415472.31089999998</v>
      </c>
      <c r="E26" s="314">
        <f>SUM(Tb_DISTR.FIN[[#This Row],[SET.25]:[DEZ.26]])</f>
        <v>1</v>
      </c>
      <c r="F26" s="318">
        <v>0</v>
      </c>
      <c r="G26" s="315">
        <v>0</v>
      </c>
      <c r="H26" s="318">
        <v>0</v>
      </c>
      <c r="I26" s="315">
        <v>0.1</v>
      </c>
      <c r="J26" s="318">
        <v>0.2</v>
      </c>
      <c r="K26" s="318">
        <v>0.4</v>
      </c>
      <c r="L26" s="318">
        <v>0.30000000000000004</v>
      </c>
      <c r="M26" s="315">
        <v>0</v>
      </c>
      <c r="N26" s="318">
        <v>0</v>
      </c>
      <c r="O26" s="318">
        <v>0</v>
      </c>
      <c r="P26" s="318">
        <v>0</v>
      </c>
      <c r="Q26" s="318">
        <v>0</v>
      </c>
      <c r="R26" s="318">
        <v>0</v>
      </c>
      <c r="S26" s="318">
        <v>0</v>
      </c>
      <c r="T26" s="318">
        <v>0</v>
      </c>
      <c r="U26" s="319">
        <v>0</v>
      </c>
      <c r="V26" s="305"/>
      <c r="W26" s="304">
        <v>0</v>
      </c>
      <c r="X26" s="255" t="s">
        <v>206</v>
      </c>
      <c r="Y26" s="256" t="s">
        <v>207</v>
      </c>
      <c r="Z26" s="265" t="s">
        <v>208</v>
      </c>
      <c r="AA26" s="265" t="s">
        <v>208</v>
      </c>
      <c r="AB26" s="265" t="s">
        <v>208</v>
      </c>
      <c r="AC26" s="266" t="s">
        <v>209</v>
      </c>
      <c r="AD26" s="271"/>
      <c r="AE26" s="271"/>
      <c r="AF26" s="271"/>
      <c r="AG26" s="271"/>
      <c r="AH26" s="271"/>
      <c r="AI26" s="271"/>
      <c r="AJ26" s="271"/>
      <c r="AK26" s="266" t="s">
        <v>209</v>
      </c>
    </row>
    <row r="27" spans="1:37" x14ac:dyDescent="0.25">
      <c r="A27" s="275" t="s">
        <v>306</v>
      </c>
      <c r="B27" s="275" t="s">
        <v>325</v>
      </c>
      <c r="C27" s="275" t="s">
        <v>125</v>
      </c>
      <c r="D27" s="306">
        <v>1219896.0657000002</v>
      </c>
      <c r="E27" s="313">
        <f>SUM(Tb_DISTR.FIN[[#This Row],[SET.25]:[DEZ.26]])</f>
        <v>0.99999999999999989</v>
      </c>
      <c r="F27" s="315">
        <v>0</v>
      </c>
      <c r="G27" s="315">
        <v>0</v>
      </c>
      <c r="H27" s="315">
        <v>0</v>
      </c>
      <c r="I27" s="315">
        <v>0.1</v>
      </c>
      <c r="J27" s="315">
        <v>0.25</v>
      </c>
      <c r="K27" s="315">
        <v>0.09</v>
      </c>
      <c r="L27" s="315">
        <v>0.1</v>
      </c>
      <c r="M27" s="315">
        <v>0.12</v>
      </c>
      <c r="N27" s="315">
        <v>0.12</v>
      </c>
      <c r="O27" s="315">
        <v>0.22</v>
      </c>
      <c r="P27" s="315">
        <v>0</v>
      </c>
      <c r="Q27" s="315">
        <v>0</v>
      </c>
      <c r="R27" s="315">
        <v>0</v>
      </c>
      <c r="S27" s="315">
        <v>0</v>
      </c>
      <c r="T27" s="315">
        <v>0</v>
      </c>
      <c r="U27" s="315">
        <v>0</v>
      </c>
      <c r="V27" s="305"/>
      <c r="W27" s="304">
        <v>0</v>
      </c>
      <c r="X27" s="255" t="s">
        <v>206</v>
      </c>
      <c r="Y27" s="256" t="s">
        <v>207</v>
      </c>
      <c r="Z27" s="266" t="s">
        <v>209</v>
      </c>
      <c r="AA27" s="256" t="s">
        <v>207</v>
      </c>
      <c r="AB27" s="265" t="s">
        <v>208</v>
      </c>
      <c r="AC27" s="267" t="s">
        <v>210</v>
      </c>
      <c r="AD27" s="268" t="s">
        <v>211</v>
      </c>
      <c r="AE27" s="272" t="s">
        <v>212</v>
      </c>
      <c r="AF27" s="269"/>
      <c r="AG27" s="269"/>
      <c r="AH27" s="269"/>
      <c r="AI27" s="269"/>
      <c r="AJ27" s="269"/>
      <c r="AK27" s="272" t="s">
        <v>212</v>
      </c>
    </row>
    <row r="28" spans="1:37" x14ac:dyDescent="0.25">
      <c r="A28" s="275" t="s">
        <v>307</v>
      </c>
      <c r="B28" s="275" t="s">
        <v>326</v>
      </c>
      <c r="C28" s="275" t="s">
        <v>125</v>
      </c>
      <c r="D28" s="303">
        <v>139993.07525999998</v>
      </c>
      <c r="E28" s="314">
        <f>SUM(Tb_DISTR.FIN[[#This Row],[SET.25]:[DEZ.26]])</f>
        <v>1</v>
      </c>
      <c r="F28" s="318">
        <v>0</v>
      </c>
      <c r="G28" s="315">
        <v>0</v>
      </c>
      <c r="H28" s="318">
        <v>0</v>
      </c>
      <c r="I28" s="315">
        <v>0.1</v>
      </c>
      <c r="J28" s="318">
        <v>0.2</v>
      </c>
      <c r="K28" s="318">
        <v>0</v>
      </c>
      <c r="L28" s="318">
        <v>0.15</v>
      </c>
      <c r="M28" s="315">
        <v>0.3</v>
      </c>
      <c r="N28" s="318">
        <v>0.25</v>
      </c>
      <c r="O28" s="318">
        <v>0</v>
      </c>
      <c r="P28" s="318">
        <v>0</v>
      </c>
      <c r="Q28" s="318">
        <v>0</v>
      </c>
      <c r="R28" s="318">
        <v>0</v>
      </c>
      <c r="S28" s="318">
        <v>0</v>
      </c>
      <c r="T28" s="318">
        <v>0</v>
      </c>
      <c r="U28" s="319">
        <v>0</v>
      </c>
      <c r="V28" s="305"/>
      <c r="W28" s="304">
        <v>0</v>
      </c>
      <c r="X28" s="255" t="s">
        <v>206</v>
      </c>
      <c r="Y28" s="264" t="s">
        <v>207</v>
      </c>
      <c r="Z28" s="266" t="s">
        <v>209</v>
      </c>
      <c r="AA28" s="267" t="s">
        <v>210</v>
      </c>
      <c r="AB28" s="268" t="s">
        <v>211</v>
      </c>
      <c r="AC28" s="271"/>
      <c r="AD28" s="271"/>
      <c r="AE28" s="271"/>
      <c r="AF28" s="271"/>
      <c r="AG28" s="271"/>
      <c r="AH28" s="271"/>
      <c r="AI28" s="271"/>
      <c r="AJ28" s="271"/>
      <c r="AK28" s="268" t="s">
        <v>211</v>
      </c>
    </row>
    <row r="29" spans="1:37" x14ac:dyDescent="0.25">
      <c r="A29" s="275" t="s">
        <v>308</v>
      </c>
      <c r="B29" s="275" t="s">
        <v>327</v>
      </c>
      <c r="C29" s="275" t="s">
        <v>124</v>
      </c>
      <c r="D29" s="306">
        <v>41370.68</v>
      </c>
      <c r="E29" s="313">
        <f>SUM(Tb_DISTR.FIN[[#This Row],[SET.25]:[DEZ.26]])</f>
        <v>1</v>
      </c>
      <c r="F29" s="315">
        <v>0</v>
      </c>
      <c r="G29" s="315">
        <v>0</v>
      </c>
      <c r="H29" s="315">
        <v>0</v>
      </c>
      <c r="I29" s="315">
        <v>0</v>
      </c>
      <c r="J29" s="315">
        <v>0</v>
      </c>
      <c r="K29" s="315">
        <v>0.1</v>
      </c>
      <c r="L29" s="315">
        <v>0.35</v>
      </c>
      <c r="M29" s="315">
        <v>0.55000000000000004</v>
      </c>
      <c r="N29" s="315">
        <v>0</v>
      </c>
      <c r="O29" s="315">
        <v>0</v>
      </c>
      <c r="P29" s="315">
        <v>0</v>
      </c>
      <c r="Q29" s="315">
        <v>0</v>
      </c>
      <c r="R29" s="315">
        <v>0</v>
      </c>
      <c r="S29" s="315">
        <v>0</v>
      </c>
      <c r="T29" s="315">
        <v>0</v>
      </c>
      <c r="U29" s="315">
        <v>0</v>
      </c>
      <c r="V29" s="305"/>
      <c r="W29" s="304">
        <v>0</v>
      </c>
      <c r="X29" s="265" t="s">
        <v>208</v>
      </c>
      <c r="Y29" s="266" t="s">
        <v>209</v>
      </c>
      <c r="Z29" s="266" t="s">
        <v>209</v>
      </c>
      <c r="AA29" s="267" t="s">
        <v>210</v>
      </c>
      <c r="AB29" s="267" t="s">
        <v>210</v>
      </c>
      <c r="AC29" s="252"/>
      <c r="AD29" s="252"/>
      <c r="AE29" s="252"/>
      <c r="AF29" s="252"/>
      <c r="AG29" s="252"/>
      <c r="AH29" s="252"/>
      <c r="AI29" s="252"/>
      <c r="AJ29" s="252"/>
      <c r="AK29" s="267" t="s">
        <v>210</v>
      </c>
    </row>
    <row r="30" spans="1:37" x14ac:dyDescent="0.25">
      <c r="A30" s="275" t="s">
        <v>309</v>
      </c>
      <c r="B30" s="275" t="s">
        <v>328</v>
      </c>
      <c r="C30" s="275" t="s">
        <v>125</v>
      </c>
      <c r="D30" s="303">
        <v>82273.161240000001</v>
      </c>
      <c r="E30" s="314">
        <f>SUM(Tb_DISTR.FIN[[#This Row],[SET.25]:[DEZ.26]])</f>
        <v>1</v>
      </c>
      <c r="F30" s="318">
        <v>0</v>
      </c>
      <c r="G30" s="315">
        <v>0</v>
      </c>
      <c r="H30" s="318">
        <v>0</v>
      </c>
      <c r="I30" s="315">
        <v>1</v>
      </c>
      <c r="J30" s="318">
        <v>0</v>
      </c>
      <c r="K30" s="318">
        <v>0</v>
      </c>
      <c r="L30" s="318">
        <v>0</v>
      </c>
      <c r="M30" s="315">
        <v>0</v>
      </c>
      <c r="N30" s="318">
        <v>0</v>
      </c>
      <c r="O30" s="318">
        <v>0</v>
      </c>
      <c r="P30" s="318">
        <v>0</v>
      </c>
      <c r="Q30" s="318">
        <v>0</v>
      </c>
      <c r="R30" s="318">
        <v>0</v>
      </c>
      <c r="S30" s="318">
        <v>0</v>
      </c>
      <c r="T30" s="318">
        <v>0</v>
      </c>
      <c r="U30" s="319">
        <v>0</v>
      </c>
      <c r="V30" s="305"/>
      <c r="W30" s="304">
        <v>0</v>
      </c>
      <c r="X30" s="255" t="s">
        <v>206</v>
      </c>
      <c r="Y30" s="255" t="s">
        <v>206</v>
      </c>
      <c r="Z30" s="255" t="s">
        <v>206</v>
      </c>
      <c r="AA30" s="271"/>
      <c r="AB30" s="271"/>
      <c r="AC30" s="271"/>
      <c r="AD30" s="271"/>
      <c r="AE30" s="271"/>
      <c r="AF30" s="271"/>
      <c r="AG30" s="271"/>
      <c r="AH30" s="271"/>
      <c r="AI30" s="271"/>
      <c r="AJ30" s="271"/>
      <c r="AK30" s="255" t="s">
        <v>206</v>
      </c>
    </row>
    <row r="31" spans="1:37" x14ac:dyDescent="0.25">
      <c r="A31" s="275" t="s">
        <v>344</v>
      </c>
      <c r="B31" s="275" t="s">
        <v>355</v>
      </c>
      <c r="C31" s="275" t="s">
        <v>125</v>
      </c>
      <c r="D31" s="306">
        <v>128609.1378</v>
      </c>
      <c r="E31" s="313">
        <f>SUM(Tb_DISTR.FIN[[#This Row],[SET.25]:[DEZ.26]])</f>
        <v>1</v>
      </c>
      <c r="F31" s="315">
        <v>0</v>
      </c>
      <c r="G31" s="315">
        <v>0</v>
      </c>
      <c r="H31" s="315">
        <v>0</v>
      </c>
      <c r="I31" s="315">
        <v>0</v>
      </c>
      <c r="J31" s="315">
        <v>0</v>
      </c>
      <c r="K31" s="315">
        <v>1</v>
      </c>
      <c r="L31" s="315">
        <v>0</v>
      </c>
      <c r="M31" s="315">
        <v>0</v>
      </c>
      <c r="N31" s="315">
        <v>0</v>
      </c>
      <c r="O31" s="315">
        <v>0</v>
      </c>
      <c r="P31" s="315">
        <v>0</v>
      </c>
      <c r="Q31" s="315">
        <v>0</v>
      </c>
      <c r="R31" s="315">
        <v>0</v>
      </c>
      <c r="S31" s="315">
        <v>0</v>
      </c>
      <c r="T31" s="315">
        <v>0</v>
      </c>
      <c r="U31" s="315">
        <v>0</v>
      </c>
      <c r="V31" s="305"/>
      <c r="W31" s="304">
        <v>0</v>
      </c>
      <c r="X31" s="265" t="s">
        <v>208</v>
      </c>
      <c r="Y31" s="265" t="s">
        <v>208</v>
      </c>
      <c r="Z31" s="265" t="s">
        <v>208</v>
      </c>
      <c r="AA31" s="252"/>
      <c r="AB31" s="252"/>
      <c r="AC31" s="252"/>
      <c r="AD31" s="252"/>
      <c r="AE31" s="252"/>
      <c r="AF31" s="252"/>
      <c r="AG31" s="252"/>
      <c r="AH31" s="252"/>
      <c r="AI31" s="252"/>
      <c r="AJ31" s="252"/>
      <c r="AK31" s="265" t="s">
        <v>208</v>
      </c>
    </row>
    <row r="32" spans="1:37" x14ac:dyDescent="0.25">
      <c r="A32" s="275" t="s">
        <v>345</v>
      </c>
      <c r="B32" s="275" t="s">
        <v>356</v>
      </c>
      <c r="C32" s="275" t="s">
        <v>124</v>
      </c>
      <c r="D32" s="303">
        <v>1114645.1777999999</v>
      </c>
      <c r="E32" s="314">
        <f>SUM(Tb_DISTR.FIN[[#This Row],[SET.25]:[DEZ.26]])</f>
        <v>1</v>
      </c>
      <c r="F32" s="318">
        <v>0</v>
      </c>
      <c r="G32" s="315">
        <v>0</v>
      </c>
      <c r="H32" s="318">
        <v>0</v>
      </c>
      <c r="I32" s="315">
        <v>0</v>
      </c>
      <c r="J32" s="318">
        <v>0</v>
      </c>
      <c r="K32" s="318">
        <v>0.1</v>
      </c>
      <c r="L32" s="318">
        <v>0.2</v>
      </c>
      <c r="M32" s="315">
        <v>0.08</v>
      </c>
      <c r="N32" s="318">
        <v>0.09</v>
      </c>
      <c r="O32" s="318">
        <v>0.09</v>
      </c>
      <c r="P32" s="318">
        <v>0.09</v>
      </c>
      <c r="Q32" s="318">
        <v>0.09</v>
      </c>
      <c r="R32" s="318">
        <v>0.08</v>
      </c>
      <c r="S32" s="318">
        <v>0.18</v>
      </c>
      <c r="T32" s="318">
        <v>0</v>
      </c>
      <c r="U32" s="319">
        <v>0</v>
      </c>
      <c r="V32" s="305"/>
      <c r="W32" s="304">
        <v>0</v>
      </c>
      <c r="X32" s="265" t="s">
        <v>208</v>
      </c>
      <c r="Y32" s="266" t="s">
        <v>209</v>
      </c>
      <c r="Z32" s="267" t="s">
        <v>210</v>
      </c>
      <c r="AA32" s="268" t="s">
        <v>211</v>
      </c>
      <c r="AB32" s="272" t="s">
        <v>212</v>
      </c>
      <c r="AC32" s="307" t="s">
        <v>213</v>
      </c>
      <c r="AD32" s="308" t="s">
        <v>214</v>
      </c>
      <c r="AE32" s="309" t="s">
        <v>215</v>
      </c>
      <c r="AF32" s="310" t="s">
        <v>216</v>
      </c>
      <c r="AG32" s="274"/>
      <c r="AH32" s="359"/>
      <c r="AI32" s="274"/>
      <c r="AJ32" s="274"/>
      <c r="AK32" s="310" t="s">
        <v>216</v>
      </c>
    </row>
    <row r="33" spans="1:37" x14ac:dyDescent="0.25">
      <c r="A33" s="275" t="s">
        <v>346</v>
      </c>
      <c r="B33" s="275" t="s">
        <v>357</v>
      </c>
      <c r="C33" s="275" t="s">
        <v>125</v>
      </c>
      <c r="D33" s="306">
        <v>91628.333999999988</v>
      </c>
      <c r="E33" s="313">
        <f>SUM(Tb_DISTR.FIN[[#This Row],[SET.25]:[DEZ.26]])</f>
        <v>1</v>
      </c>
      <c r="F33" s="315">
        <v>0</v>
      </c>
      <c r="G33" s="315">
        <v>0</v>
      </c>
      <c r="H33" s="315">
        <v>0</v>
      </c>
      <c r="I33" s="315">
        <v>0</v>
      </c>
      <c r="J33" s="315">
        <v>0</v>
      </c>
      <c r="K33" s="315">
        <v>0.37000000000000005</v>
      </c>
      <c r="L33" s="315">
        <v>0.23</v>
      </c>
      <c r="M33" s="315">
        <v>0.4</v>
      </c>
      <c r="N33" s="315">
        <v>0</v>
      </c>
      <c r="O33" s="315">
        <v>0</v>
      </c>
      <c r="P33" s="315">
        <v>0</v>
      </c>
      <c r="Q33" s="315">
        <v>0</v>
      </c>
      <c r="R33" s="315">
        <v>0</v>
      </c>
      <c r="S33" s="315">
        <v>0</v>
      </c>
      <c r="T33" s="315">
        <v>0</v>
      </c>
      <c r="U33" s="315">
        <v>0</v>
      </c>
      <c r="V33" s="305"/>
      <c r="W33" s="304">
        <v>0</v>
      </c>
      <c r="X33" s="265" t="s">
        <v>208</v>
      </c>
      <c r="Y33" s="265" t="s">
        <v>208</v>
      </c>
      <c r="Z33" s="265" t="s">
        <v>208</v>
      </c>
      <c r="AA33" s="266" t="s">
        <v>209</v>
      </c>
      <c r="AB33" s="267" t="s">
        <v>210</v>
      </c>
      <c r="AC33" s="252"/>
      <c r="AD33" s="252"/>
      <c r="AE33" s="252"/>
      <c r="AF33" s="252"/>
      <c r="AG33" s="252"/>
      <c r="AH33" s="252"/>
      <c r="AI33" s="252"/>
      <c r="AJ33" s="252"/>
      <c r="AK33" s="267" t="s">
        <v>210</v>
      </c>
    </row>
    <row r="34" spans="1:37" x14ac:dyDescent="0.25">
      <c r="A34" s="275" t="s">
        <v>377</v>
      </c>
      <c r="B34" s="275" t="s">
        <v>380</v>
      </c>
      <c r="C34" s="275" t="s">
        <v>125</v>
      </c>
      <c r="D34" s="303">
        <v>467937.02681999997</v>
      </c>
      <c r="E34" s="314">
        <f>SUM(Tb_DISTR.FIN[[#This Row],[SET.25]:[DEZ.26]])</f>
        <v>1</v>
      </c>
      <c r="F34" s="318">
        <v>0</v>
      </c>
      <c r="G34" s="315">
        <v>0</v>
      </c>
      <c r="H34" s="318">
        <v>0</v>
      </c>
      <c r="I34" s="315">
        <v>0</v>
      </c>
      <c r="J34" s="318">
        <v>0</v>
      </c>
      <c r="K34" s="318">
        <v>0.1</v>
      </c>
      <c r="L34" s="318">
        <v>0</v>
      </c>
      <c r="M34" s="315">
        <v>0.25</v>
      </c>
      <c r="N34" s="318">
        <v>0.23</v>
      </c>
      <c r="O34" s="318">
        <v>0.13</v>
      </c>
      <c r="P34" s="318">
        <v>0.13</v>
      </c>
      <c r="Q34" s="318">
        <v>0.16</v>
      </c>
      <c r="R34" s="318">
        <v>0</v>
      </c>
      <c r="S34" s="318">
        <v>0</v>
      </c>
      <c r="T34" s="318">
        <v>0</v>
      </c>
      <c r="U34" s="319"/>
      <c r="V34" s="305"/>
      <c r="W34" s="304">
        <v>0</v>
      </c>
      <c r="X34" s="265" t="s">
        <v>208</v>
      </c>
      <c r="Y34" s="267" t="s">
        <v>210</v>
      </c>
      <c r="Z34" s="268" t="s">
        <v>211</v>
      </c>
      <c r="AA34" s="267" t="s">
        <v>210</v>
      </c>
      <c r="AB34" s="268" t="s">
        <v>211</v>
      </c>
      <c r="AC34" s="272" t="s">
        <v>212</v>
      </c>
      <c r="AD34" s="307" t="s">
        <v>213</v>
      </c>
      <c r="AE34" s="308" t="s">
        <v>214</v>
      </c>
      <c r="AF34" s="269"/>
      <c r="AG34" s="269"/>
      <c r="AH34" s="269"/>
      <c r="AI34" s="269"/>
      <c r="AJ34" s="269"/>
      <c r="AK34" s="308" t="s">
        <v>214</v>
      </c>
    </row>
    <row r="35" spans="1:37" x14ac:dyDescent="0.25">
      <c r="A35" s="300" t="s">
        <v>378</v>
      </c>
      <c r="B35" s="300" t="s">
        <v>381</v>
      </c>
      <c r="C35" s="300" t="s">
        <v>125</v>
      </c>
      <c r="D35" s="301">
        <v>0</v>
      </c>
      <c r="E35" s="316">
        <f>SUM(Tb_DISTR.FIN[[#This Row],[SET.25]:[DEZ.26]])</f>
        <v>0</v>
      </c>
      <c r="F35" s="317">
        <v>0</v>
      </c>
      <c r="G35" s="317">
        <v>0</v>
      </c>
      <c r="H35" s="317">
        <v>0</v>
      </c>
      <c r="I35" s="317">
        <v>0</v>
      </c>
      <c r="J35" s="317">
        <v>0</v>
      </c>
      <c r="K35" s="317">
        <v>0</v>
      </c>
      <c r="L35" s="317">
        <v>0</v>
      </c>
      <c r="M35" s="317">
        <v>0</v>
      </c>
      <c r="N35" s="317">
        <v>0</v>
      </c>
      <c r="O35" s="317">
        <v>0</v>
      </c>
      <c r="P35" s="317">
        <v>0</v>
      </c>
      <c r="Q35" s="317">
        <v>0</v>
      </c>
      <c r="R35" s="317">
        <v>0</v>
      </c>
      <c r="S35" s="317">
        <v>0</v>
      </c>
      <c r="T35" s="317">
        <v>0</v>
      </c>
      <c r="U35" s="317"/>
      <c r="V35" s="357"/>
      <c r="W35" s="358"/>
      <c r="X35" s="252"/>
      <c r="Y35" s="252"/>
      <c r="Z35" s="252"/>
      <c r="AA35" s="252"/>
      <c r="AB35" s="252"/>
      <c r="AC35" s="252"/>
      <c r="AD35" s="252"/>
      <c r="AE35" s="252"/>
      <c r="AF35" s="252"/>
      <c r="AG35" s="252"/>
      <c r="AH35" s="252"/>
      <c r="AI35" s="252"/>
      <c r="AJ35" s="252"/>
      <c r="AK35" s="252"/>
    </row>
    <row r="36" spans="1:37" x14ac:dyDescent="0.25">
      <c r="A36" s="275" t="s">
        <v>379</v>
      </c>
      <c r="B36" s="275" t="s">
        <v>382</v>
      </c>
      <c r="C36" s="275" t="s">
        <v>125</v>
      </c>
      <c r="D36" s="303">
        <v>348499.33019999997</v>
      </c>
      <c r="E36" s="314">
        <f>SUM(Tb_DISTR.FIN[[#This Row],[SET.25]:[DEZ.26]])</f>
        <v>0.99999999999999989</v>
      </c>
      <c r="F36" s="318">
        <v>0</v>
      </c>
      <c r="G36" s="315">
        <v>0</v>
      </c>
      <c r="H36" s="318">
        <v>0</v>
      </c>
      <c r="I36" s="315">
        <v>0</v>
      </c>
      <c r="J36" s="318">
        <v>0</v>
      </c>
      <c r="K36" s="318">
        <v>0.1</v>
      </c>
      <c r="L36" s="318">
        <v>0</v>
      </c>
      <c r="M36" s="315">
        <v>0.2</v>
      </c>
      <c r="N36" s="318">
        <v>0.09</v>
      </c>
      <c r="O36" s="318">
        <v>0.09</v>
      </c>
      <c r="P36" s="318">
        <v>0.09</v>
      </c>
      <c r="Q36" s="318">
        <v>0.09</v>
      </c>
      <c r="R36" s="318">
        <v>0.09</v>
      </c>
      <c r="S36" s="318">
        <v>0.08</v>
      </c>
      <c r="T36" s="318">
        <v>0.17</v>
      </c>
      <c r="U36" s="319"/>
      <c r="V36" s="357"/>
      <c r="W36" s="304">
        <v>0</v>
      </c>
      <c r="X36" s="265" t="s">
        <v>208</v>
      </c>
      <c r="Y36" s="267" t="s">
        <v>210</v>
      </c>
      <c r="Z36" s="268" t="s">
        <v>211</v>
      </c>
      <c r="AA36" s="272" t="s">
        <v>212</v>
      </c>
      <c r="AB36" s="307" t="s">
        <v>213</v>
      </c>
      <c r="AC36" s="308" t="s">
        <v>214</v>
      </c>
      <c r="AD36" s="309" t="s">
        <v>215</v>
      </c>
      <c r="AE36" s="310" t="s">
        <v>216</v>
      </c>
      <c r="AF36" s="311" t="s">
        <v>217</v>
      </c>
      <c r="AG36" s="269"/>
      <c r="AH36" s="269"/>
      <c r="AI36" s="269"/>
      <c r="AJ36" s="269"/>
      <c r="AK36" s="311" t="s">
        <v>217</v>
      </c>
    </row>
    <row r="37" spans="1:37" x14ac:dyDescent="0.25">
      <c r="F37" s="17"/>
    </row>
    <row r="38" spans="1:37" x14ac:dyDescent="0.25">
      <c r="F38" s="17"/>
      <c r="U38" s="279" t="s">
        <v>237</v>
      </c>
      <c r="V38" s="280"/>
      <c r="X38" s="309" t="s">
        <v>203</v>
      </c>
      <c r="Y38" s="310" t="s">
        <v>204</v>
      </c>
      <c r="Z38" s="311" t="s">
        <v>205</v>
      </c>
      <c r="AA38" s="270" t="s">
        <v>206</v>
      </c>
      <c r="AB38" s="264" t="s">
        <v>207</v>
      </c>
      <c r="AC38" s="265" t="s">
        <v>208</v>
      </c>
      <c r="AD38" s="266" t="s">
        <v>209</v>
      </c>
      <c r="AE38" s="267" t="s">
        <v>210</v>
      </c>
      <c r="AF38" s="268" t="s">
        <v>211</v>
      </c>
      <c r="AG38" s="272" t="s">
        <v>212</v>
      </c>
      <c r="AH38" s="307" t="s">
        <v>213</v>
      </c>
      <c r="AI38" s="308" t="s">
        <v>214</v>
      </c>
    </row>
    <row r="39" spans="1:37" x14ac:dyDescent="0.25">
      <c r="F39" s="17"/>
      <c r="X39" s="309" t="s">
        <v>215</v>
      </c>
      <c r="Y39" s="310" t="s">
        <v>216</v>
      </c>
      <c r="Z39" s="311" t="s">
        <v>217</v>
      </c>
      <c r="AA39" s="270" t="s">
        <v>218</v>
      </c>
      <c r="AB39" s="264" t="s">
        <v>347</v>
      </c>
      <c r="AC39" s="265" t="s">
        <v>348</v>
      </c>
      <c r="AD39" s="266" t="s">
        <v>349</v>
      </c>
      <c r="AE39" s="267" t="s">
        <v>350</v>
      </c>
      <c r="AF39" s="268" t="s">
        <v>351</v>
      </c>
      <c r="AG39" s="272" t="s">
        <v>352</v>
      </c>
      <c r="AH39" s="307" t="s">
        <v>353</v>
      </c>
      <c r="AI39" s="308" t="s">
        <v>354</v>
      </c>
    </row>
  </sheetData>
  <sheetProtection autoFilter="0" pivotTables="0"/>
  <conditionalFormatting sqref="W5:W7 W9:W11 W13:W17 W35">
    <cfRule type="cellIs" dxfId="211" priority="203" operator="lessThan">
      <formula>0</formula>
    </cfRule>
  </conditionalFormatting>
  <conditionalFormatting sqref="W24">
    <cfRule type="cellIs" dxfId="210" priority="187" operator="lessThan">
      <formula>0</formula>
    </cfRule>
  </conditionalFormatting>
  <conditionalFormatting sqref="F4:U24 F26:U26 F28:U28">
    <cfRule type="cellIs" dxfId="209" priority="181" operator="lessThan">
      <formula>0</formula>
    </cfRule>
  </conditionalFormatting>
  <conditionalFormatting sqref="F4:U24 F26:U26 F28:U28">
    <cfRule type="cellIs" dxfId="208" priority="180" operator="lessThan">
      <formula>0</formula>
    </cfRule>
  </conditionalFormatting>
  <conditionalFormatting sqref="F27:U27">
    <cfRule type="cellIs" dxfId="207" priority="168" operator="lessThan">
      <formula>0</formula>
    </cfRule>
  </conditionalFormatting>
  <conditionalFormatting sqref="AC35:AJ35 AF34:AJ34 AG36:AJ36">
    <cfRule type="cellIs" dxfId="206" priority="5" operator="lessThan">
      <formula>0</formula>
    </cfRule>
  </conditionalFormatting>
  <conditionalFormatting sqref="F25:U25">
    <cfRule type="cellIs" dxfId="205" priority="179" operator="lessThan">
      <formula>0</formula>
    </cfRule>
  </conditionalFormatting>
  <conditionalFormatting sqref="W25:W34">
    <cfRule type="cellIs" dxfId="204" priority="177" operator="lessThan">
      <formula>0</formula>
    </cfRule>
  </conditionalFormatting>
  <conditionalFormatting sqref="AF27:AJ27">
    <cfRule type="cellIs" dxfId="203" priority="11" operator="lessThan">
      <formula>0</formula>
    </cfRule>
  </conditionalFormatting>
  <conditionalFormatting sqref="A4">
    <cfRule type="duplicateValues" dxfId="202" priority="220"/>
  </conditionalFormatting>
  <conditionalFormatting sqref="A8">
    <cfRule type="duplicateValues" dxfId="201" priority="219"/>
  </conditionalFormatting>
  <conditionalFormatting sqref="A5:A7 A9:A11 A13:A17">
    <cfRule type="duplicateValues" dxfId="200" priority="221"/>
  </conditionalFormatting>
  <conditionalFormatting sqref="A12">
    <cfRule type="duplicateValues" dxfId="199" priority="218"/>
  </conditionalFormatting>
  <conditionalFormatting sqref="F4:U24 F26:U26 F28:U28">
    <cfRule type="cellIs" dxfId="198" priority="217" operator="lessThan">
      <formula>0</formula>
    </cfRule>
  </conditionalFormatting>
  <conditionalFormatting sqref="A18:A19">
    <cfRule type="duplicateValues" dxfId="197" priority="216"/>
  </conditionalFormatting>
  <conditionalFormatting sqref="W18:W19">
    <cfRule type="cellIs" dxfId="196" priority="199" operator="lessThan">
      <formula>0</formula>
    </cfRule>
  </conditionalFormatting>
  <conditionalFormatting sqref="W4">
    <cfRule type="cellIs" dxfId="195" priority="202" operator="lessThan">
      <formula>0</formula>
    </cfRule>
  </conditionalFormatting>
  <conditionalFormatting sqref="W8">
    <cfRule type="cellIs" dxfId="194" priority="201" operator="lessThan">
      <formula>0</formula>
    </cfRule>
  </conditionalFormatting>
  <conditionalFormatting sqref="W12">
    <cfRule type="cellIs" dxfId="193" priority="200" operator="lessThan">
      <formula>0</formula>
    </cfRule>
  </conditionalFormatting>
  <conditionalFormatting sqref="W20">
    <cfRule type="cellIs" dxfId="192" priority="198" operator="lessThan">
      <formula>0</formula>
    </cfRule>
  </conditionalFormatting>
  <conditionalFormatting sqref="W21">
    <cfRule type="cellIs" dxfId="191" priority="197" operator="lessThan">
      <formula>0</formula>
    </cfRule>
  </conditionalFormatting>
  <conditionalFormatting sqref="W22">
    <cfRule type="cellIs" dxfId="190" priority="196" operator="lessThan">
      <formula>0</formula>
    </cfRule>
  </conditionalFormatting>
  <conditionalFormatting sqref="W23">
    <cfRule type="cellIs" dxfId="189" priority="195" operator="lessThan">
      <formula>0</formula>
    </cfRule>
  </conditionalFormatting>
  <conditionalFormatting sqref="A20">
    <cfRule type="duplicateValues" dxfId="188" priority="194"/>
  </conditionalFormatting>
  <conditionalFormatting sqref="A21">
    <cfRule type="duplicateValues" dxfId="187" priority="193"/>
  </conditionalFormatting>
  <conditionalFormatting sqref="A22">
    <cfRule type="duplicateValues" dxfId="186" priority="192"/>
  </conditionalFormatting>
  <conditionalFormatting sqref="A23">
    <cfRule type="duplicateValues" dxfId="185" priority="191"/>
  </conditionalFormatting>
  <conditionalFormatting sqref="A24 A26 A28">
    <cfRule type="duplicateValues" dxfId="184" priority="186"/>
  </conditionalFormatting>
  <conditionalFormatting sqref="A25">
    <cfRule type="duplicateValues" dxfId="183" priority="176"/>
  </conditionalFormatting>
  <conditionalFormatting sqref="F25:U25">
    <cfRule type="cellIs" dxfId="182" priority="175" operator="lessThan">
      <formula>0</formula>
    </cfRule>
  </conditionalFormatting>
  <conditionalFormatting sqref="F25:U25">
    <cfRule type="cellIs" dxfId="181" priority="174" operator="lessThan">
      <formula>0</formula>
    </cfRule>
  </conditionalFormatting>
  <conditionalFormatting sqref="F27:U27">
    <cfRule type="cellIs" dxfId="180" priority="173" operator="lessThan">
      <formula>0</formula>
    </cfRule>
  </conditionalFormatting>
  <conditionalFormatting sqref="AA20">
    <cfRule type="cellIs" dxfId="179" priority="24" operator="lessThan">
      <formula>0</formula>
    </cfRule>
  </conditionalFormatting>
  <conditionalFormatting sqref="A27">
    <cfRule type="duplicateValues" dxfId="178" priority="170"/>
  </conditionalFormatting>
  <conditionalFormatting sqref="F27:U27">
    <cfRule type="cellIs" dxfId="177" priority="169" operator="lessThan">
      <formula>0</formula>
    </cfRule>
  </conditionalFormatting>
  <conditionalFormatting sqref="AF25:AJ25">
    <cfRule type="cellIs" dxfId="176" priority="12" operator="lessThan">
      <formula>0</formula>
    </cfRule>
  </conditionalFormatting>
  <conditionalFormatting sqref="X20">
    <cfRule type="cellIs" dxfId="175" priority="26" operator="lessThan">
      <formula>0</formula>
    </cfRule>
  </conditionalFormatting>
  <conditionalFormatting sqref="Y20:Z20 AB20:AK20">
    <cfRule type="cellIs" dxfId="174" priority="25" operator="lessThan">
      <formula>0</formula>
    </cfRule>
  </conditionalFormatting>
  <conditionalFormatting sqref="AC21:AJ21">
    <cfRule type="cellIs" dxfId="173" priority="23" operator="lessThan">
      <formula>0</formula>
    </cfRule>
  </conditionalFormatting>
  <conditionalFormatting sqref="AB22:AJ22">
    <cfRule type="cellIs" dxfId="172" priority="22" operator="lessThan">
      <formula>0</formula>
    </cfRule>
  </conditionalFormatting>
  <conditionalFormatting sqref="AA22">
    <cfRule type="cellIs" dxfId="171" priority="21" operator="lessThan">
      <formula>0</formula>
    </cfRule>
  </conditionalFormatting>
  <conditionalFormatting sqref="AI23:AJ23">
    <cfRule type="cellIs" dxfId="170" priority="20" operator="lessThan">
      <formula>0</formula>
    </cfRule>
  </conditionalFormatting>
  <conditionalFormatting sqref="X24">
    <cfRule type="cellIs" dxfId="169" priority="19" operator="lessThan">
      <formula>0</formula>
    </cfRule>
  </conditionalFormatting>
  <conditionalFormatting sqref="AA24 AA30">
    <cfRule type="cellIs" dxfId="168" priority="17" operator="lessThan">
      <formula>0</formula>
    </cfRule>
  </conditionalFormatting>
  <conditionalFormatting sqref="AC17">
    <cfRule type="cellIs" dxfId="167" priority="16" operator="lessThan">
      <formula>0</formula>
    </cfRule>
  </conditionalFormatting>
  <conditionalFormatting sqref="X13">
    <cfRule type="cellIs" dxfId="166" priority="15" operator="lessThan">
      <formula>0</formula>
    </cfRule>
  </conditionalFormatting>
  <conditionalFormatting sqref="Y13:Z13">
    <cfRule type="cellIs" dxfId="165" priority="14" operator="lessThan">
      <formula>0</formula>
    </cfRule>
  </conditionalFormatting>
  <conditionalFormatting sqref="AA13">
    <cfRule type="cellIs" dxfId="164" priority="13" operator="lessThan">
      <formula>0</formula>
    </cfRule>
  </conditionalFormatting>
  <conditionalFormatting sqref="AC29:AJ29">
    <cfRule type="cellIs" dxfId="163" priority="10" operator="lessThan">
      <formula>0</formula>
    </cfRule>
  </conditionalFormatting>
  <conditionalFormatting sqref="AB31:AJ31">
    <cfRule type="cellIs" dxfId="162" priority="9" operator="lessThan">
      <formula>0</formula>
    </cfRule>
  </conditionalFormatting>
  <conditionalFormatting sqref="AA31">
    <cfRule type="cellIs" dxfId="161" priority="8" operator="lessThan">
      <formula>0</formula>
    </cfRule>
  </conditionalFormatting>
  <conditionalFormatting sqref="AC33:AJ33">
    <cfRule type="cellIs" dxfId="160" priority="7" operator="lessThan">
      <formula>0</formula>
    </cfRule>
  </conditionalFormatting>
  <conditionalFormatting sqref="AC28">
    <cfRule type="cellIs" dxfId="159" priority="6" operator="lessThan">
      <formula>0</formula>
    </cfRule>
  </conditionalFormatting>
  <conditionalFormatting sqref="Z35:AB35">
    <cfRule type="cellIs" dxfId="158" priority="4" operator="lessThan">
      <formula>0</formula>
    </cfRule>
  </conditionalFormatting>
  <conditionalFormatting sqref="Y35">
    <cfRule type="cellIs" dxfId="157" priority="3" operator="lessThan">
      <formula>0</formula>
    </cfRule>
  </conditionalFormatting>
  <conditionalFormatting sqref="X35">
    <cfRule type="cellIs" dxfId="156" priority="1" operator="lessThan">
      <formula>0</formula>
    </cfRule>
  </conditionalFormatting>
  <conditionalFormatting sqref="AB13:AK13 AB11:AJ11 AC5:AJ7 AC9:AJ9 AD10:AJ10 AD17:AJ17 AG16:AJ16 AC15:AJ15 AI14:AJ14">
    <cfRule type="cellIs" dxfId="155" priority="31" operator="lessThan">
      <formula>0</formula>
    </cfRule>
  </conditionalFormatting>
  <conditionalFormatting sqref="AH4:AJ4">
    <cfRule type="cellIs" dxfId="154" priority="30" operator="lessThan">
      <formula>0</formula>
    </cfRule>
  </conditionalFormatting>
  <conditionalFormatting sqref="AC8:AJ8">
    <cfRule type="cellIs" dxfId="153" priority="29" operator="lessThan">
      <formula>0</formula>
    </cfRule>
  </conditionalFormatting>
  <conditionalFormatting sqref="AC12:AJ12">
    <cfRule type="cellIs" dxfId="152" priority="28" operator="lessThan">
      <formula>0</formula>
    </cfRule>
  </conditionalFormatting>
  <conditionalFormatting sqref="AC18:AJ19">
    <cfRule type="cellIs" dxfId="151" priority="27" operator="lessThan">
      <formula>0</formula>
    </cfRule>
  </conditionalFormatting>
  <conditionalFormatting sqref="Y24:Z24 AB24:AK24 AD26:AJ26 AD28:AJ28 AB30:AJ30">
    <cfRule type="cellIs" dxfId="150" priority="18" operator="lessThan">
      <formula>0</formula>
    </cfRule>
  </conditionalFormatting>
  <conditionalFormatting sqref="AK35">
    <cfRule type="cellIs" dxfId="149" priority="2" operator="lessThan">
      <formula>0</formula>
    </cfRule>
  </conditionalFormatting>
  <conditionalFormatting sqref="F30:U30 F32:U32 F34:U34 F36:U36">
    <cfRule type="cellIs" dxfId="148" priority="44" operator="lessThan">
      <formula>0</formula>
    </cfRule>
  </conditionalFormatting>
  <conditionalFormatting sqref="F30:U30 F32:U32 F34:U34 F36:U36">
    <cfRule type="cellIs" dxfId="147" priority="42" operator="lessThan">
      <formula>0</formula>
    </cfRule>
  </conditionalFormatting>
  <conditionalFormatting sqref="F30:U30 F32:U32 F34:U34 F36:U36">
    <cfRule type="cellIs" dxfId="146" priority="41" operator="lessThan">
      <formula>0</formula>
    </cfRule>
  </conditionalFormatting>
  <conditionalFormatting sqref="F29:U29 F31:U31 F33:U33">
    <cfRule type="cellIs" dxfId="145" priority="40" operator="lessThan">
      <formula>0</formula>
    </cfRule>
  </conditionalFormatting>
  <conditionalFormatting sqref="F29:U29 F31:U31 F33:U33">
    <cfRule type="cellIs" dxfId="144" priority="38" operator="lessThan">
      <formula>0</formula>
    </cfRule>
  </conditionalFormatting>
  <conditionalFormatting sqref="F29:U29 F31:U31 F33:U33">
    <cfRule type="cellIs" dxfId="143" priority="37" operator="lessThan">
      <formula>0</formula>
    </cfRule>
  </conditionalFormatting>
  <conditionalFormatting sqref="F35:U35">
    <cfRule type="cellIs" dxfId="142" priority="36" operator="lessThan">
      <formula>0</formula>
    </cfRule>
  </conditionalFormatting>
  <conditionalFormatting sqref="F35:U35">
    <cfRule type="cellIs" dxfId="141" priority="34" operator="lessThan">
      <formula>0</formula>
    </cfRule>
  </conditionalFormatting>
  <conditionalFormatting sqref="W36">
    <cfRule type="cellIs" dxfId="140" priority="32" operator="lessThan">
      <formula>0</formula>
    </cfRule>
  </conditionalFormatting>
  <conditionalFormatting sqref="F35:U35">
    <cfRule type="cellIs" dxfId="139" priority="33" operator="lessThan">
      <formula>0</formula>
    </cfRule>
  </conditionalFormatting>
  <conditionalFormatting sqref="A30 A32 A34 A36">
    <cfRule type="duplicateValues" dxfId="138" priority="43"/>
  </conditionalFormatting>
  <conditionalFormatting sqref="A29 A31 A33">
    <cfRule type="duplicateValues" dxfId="137" priority="39"/>
  </conditionalFormatting>
  <conditionalFormatting sqref="A35">
    <cfRule type="duplicateValues" dxfId="136" priority="35"/>
  </conditionalFormatting>
  <pageMargins left="0.511811024" right="0.511811024" top="0.78740157499999996" bottom="0.78740157499999996" header="0.31496062000000002" footer="0.31496062000000002"/>
  <pageSetup paperSize="9" orientation="portrait" horizontalDpi="1200" verticalDpi="120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CDA3A-82FF-4DCE-98F7-E984D7975F89}">
  <dimension ref="A1:Q90"/>
  <sheetViews>
    <sheetView showGridLines="0" zoomScale="115" zoomScaleNormal="115" workbookViewId="0">
      <selection activeCell="D110" sqref="D110"/>
    </sheetView>
  </sheetViews>
  <sheetFormatPr defaultColWidth="9.140625" defaultRowHeight="12.75" x14ac:dyDescent="0.2"/>
  <cols>
    <col min="1" max="1" width="30.85546875" style="237" bestFit="1" customWidth="1"/>
    <col min="2" max="3" width="13.7109375" style="185" customWidth="1"/>
    <col min="4" max="4" width="15" style="185" bestFit="1" customWidth="1"/>
    <col min="5" max="5" width="13.7109375" style="185" customWidth="1"/>
    <col min="6" max="17" width="13.7109375" style="185" hidden="1" customWidth="1"/>
    <col min="18" max="16384" width="9.140625" style="237"/>
  </cols>
  <sheetData>
    <row r="1" spans="1:17" ht="20.100000000000001" customHeight="1" x14ac:dyDescent="0.2">
      <c r="A1" s="240" t="s">
        <v>259</v>
      </c>
      <c r="B1" s="236" t="s">
        <v>203</v>
      </c>
      <c r="C1" s="236" t="s">
        <v>204</v>
      </c>
      <c r="D1" s="236" t="s">
        <v>205</v>
      </c>
      <c r="E1" s="236" t="s">
        <v>206</v>
      </c>
      <c r="F1" s="243" t="s">
        <v>207</v>
      </c>
      <c r="G1" s="243" t="s">
        <v>208</v>
      </c>
      <c r="H1" s="243" t="s">
        <v>209</v>
      </c>
      <c r="I1" s="243" t="s">
        <v>210</v>
      </c>
      <c r="J1" s="243" t="s">
        <v>211</v>
      </c>
      <c r="K1" s="243" t="s">
        <v>212</v>
      </c>
      <c r="L1" s="243" t="s">
        <v>213</v>
      </c>
      <c r="M1" s="243" t="s">
        <v>214</v>
      </c>
      <c r="N1" s="243" t="s">
        <v>215</v>
      </c>
      <c r="O1" s="243" t="s">
        <v>216</v>
      </c>
      <c r="P1" s="243" t="s">
        <v>217</v>
      </c>
      <c r="Q1" s="243" t="s">
        <v>218</v>
      </c>
    </row>
    <row r="2" spans="1:17" ht="18" customHeight="1" x14ac:dyDescent="0.2">
      <c r="A2" s="241" t="s">
        <v>295</v>
      </c>
      <c r="B2" s="239">
        <v>2470510.0331999999</v>
      </c>
      <c r="C2" s="239">
        <v>877483.53</v>
      </c>
      <c r="D2" s="239">
        <v>516915.81000000006</v>
      </c>
      <c r="E2" s="239">
        <v>516915.81000000006</v>
      </c>
      <c r="F2" s="239">
        <v>516915.81000000006</v>
      </c>
      <c r="G2" s="239">
        <v>516915.81000000006</v>
      </c>
      <c r="H2" s="239">
        <v>516915.81000000006</v>
      </c>
      <c r="I2" s="239">
        <v>516915.81000000006</v>
      </c>
      <c r="J2" s="239">
        <v>516915.81000000006</v>
      </c>
      <c r="K2" s="239">
        <v>516915.81000000006</v>
      </c>
      <c r="L2" s="239">
        <v>516915.81000000006</v>
      </c>
      <c r="M2" s="239">
        <v>516915.81000000006</v>
      </c>
      <c r="N2" s="239">
        <v>516915.81000000006</v>
      </c>
      <c r="O2" s="239">
        <v>516915.81000000006</v>
      </c>
      <c r="P2" s="239">
        <v>516915.81000000006</v>
      </c>
      <c r="Q2" s="239">
        <v>516915.81000000006</v>
      </c>
    </row>
    <row r="3" spans="1:17" ht="18" customHeight="1" x14ac:dyDescent="0.2">
      <c r="A3" s="241" t="s">
        <v>300</v>
      </c>
      <c r="B3" s="239">
        <f>SUM(B9:B34)</f>
        <v>211932.44820000001</v>
      </c>
      <c r="C3" s="239">
        <f t="shared" ref="C3:E3" si="0">SUM(C9:C34)</f>
        <v>1514263.174902</v>
      </c>
      <c r="D3" s="239">
        <f>SUM(D9:D34)</f>
        <v>190246.52900000004</v>
      </c>
      <c r="E3" s="239">
        <f t="shared" si="0"/>
        <v>298360.25834400003</v>
      </c>
      <c r="F3" s="239"/>
      <c r="G3" s="239"/>
      <c r="H3" s="239"/>
      <c r="I3" s="239"/>
      <c r="J3" s="239"/>
      <c r="K3" s="239"/>
      <c r="L3" s="239"/>
      <c r="M3" s="239"/>
      <c r="N3" s="239"/>
      <c r="O3" s="239"/>
      <c r="P3" s="239"/>
      <c r="Q3" s="239"/>
    </row>
    <row r="4" spans="1:17" ht="18" customHeight="1" x14ac:dyDescent="0.2">
      <c r="A4" s="241" t="s">
        <v>296</v>
      </c>
      <c r="B4" s="239">
        <f>SUM(B37:B62)</f>
        <v>0</v>
      </c>
      <c r="C4" s="239">
        <f t="shared" ref="C4:E4" si="1">SUM(C37:C62)</f>
        <v>801673.95495599997</v>
      </c>
      <c r="D4" s="239">
        <f>SUM(D37:D62)</f>
        <v>2926533.7293200004</v>
      </c>
      <c r="E4" s="239">
        <f t="shared" si="1"/>
        <v>91401.642248000018</v>
      </c>
      <c r="F4" s="239"/>
      <c r="G4" s="239"/>
      <c r="H4" s="239"/>
      <c r="I4" s="239"/>
      <c r="J4" s="239"/>
      <c r="K4" s="239"/>
      <c r="L4" s="239"/>
      <c r="M4" s="239"/>
      <c r="N4" s="239"/>
      <c r="O4" s="239"/>
      <c r="P4" s="239"/>
      <c r="Q4" s="239"/>
    </row>
    <row r="5" spans="1:17" ht="18" customHeight="1" x14ac:dyDescent="0.2">
      <c r="A5" s="241" t="s">
        <v>297</v>
      </c>
      <c r="B5" s="239">
        <f>SUM(B65:B90)</f>
        <v>0</v>
      </c>
      <c r="C5" s="239">
        <f t="shared" ref="C5:E5" si="2">SUM(C65:C90)</f>
        <v>311406.86985399999</v>
      </c>
      <c r="D5" s="239">
        <f>SUM(D65:D90)</f>
        <v>1186289.2674379421</v>
      </c>
      <c r="E5" s="239">
        <f t="shared" si="2"/>
        <v>2951323.0992897614</v>
      </c>
      <c r="F5" s="239"/>
      <c r="G5" s="239"/>
      <c r="H5" s="239"/>
      <c r="I5" s="239"/>
      <c r="J5" s="239"/>
      <c r="K5" s="239"/>
      <c r="L5" s="239"/>
      <c r="M5" s="239"/>
      <c r="N5" s="239"/>
      <c r="O5" s="239"/>
      <c r="P5" s="239"/>
      <c r="Q5" s="239"/>
    </row>
    <row r="6" spans="1:17" s="238" customFormat="1" ht="20.100000000000001" customHeight="1" x14ac:dyDescent="0.2">
      <c r="A6" s="242" t="s">
        <v>298</v>
      </c>
      <c r="B6" s="250">
        <f>SUM(B2:B5)</f>
        <v>2682442.4813999999</v>
      </c>
      <c r="C6" s="250">
        <f t="shared" ref="C6:Q7" si="3">SUM(C2:C5)</f>
        <v>3504827.5297119995</v>
      </c>
      <c r="D6" s="250">
        <f>SUM(D2:D5)</f>
        <v>4819985.3357579429</v>
      </c>
      <c r="E6" s="250">
        <f>SUM(E2:E5)</f>
        <v>3858000.8098817617</v>
      </c>
      <c r="F6" s="251">
        <f t="shared" si="3"/>
        <v>516915.81000000006</v>
      </c>
      <c r="G6" s="251">
        <f t="shared" si="3"/>
        <v>516915.81000000006</v>
      </c>
      <c r="H6" s="251">
        <f t="shared" si="3"/>
        <v>516915.81000000006</v>
      </c>
      <c r="I6" s="251">
        <f t="shared" si="3"/>
        <v>516915.81000000006</v>
      </c>
      <c r="J6" s="251">
        <f t="shared" si="3"/>
        <v>516915.81000000006</v>
      </c>
      <c r="K6" s="251">
        <f t="shared" si="3"/>
        <v>516915.81000000006</v>
      </c>
      <c r="L6" s="251">
        <f t="shared" si="3"/>
        <v>516915.81000000006</v>
      </c>
      <c r="M6" s="251">
        <f t="shared" si="3"/>
        <v>516915.81000000006</v>
      </c>
      <c r="N6" s="251">
        <f t="shared" si="3"/>
        <v>516915.81000000006</v>
      </c>
      <c r="O6" s="251">
        <f t="shared" si="3"/>
        <v>516915.81000000006</v>
      </c>
      <c r="P6" s="251">
        <f t="shared" si="3"/>
        <v>516915.81000000006</v>
      </c>
      <c r="Q6" s="251">
        <f t="shared" si="3"/>
        <v>516915.81000000006</v>
      </c>
    </row>
    <row r="7" spans="1:17" s="238" customFormat="1" ht="20.100000000000001" customHeight="1" x14ac:dyDescent="0.2">
      <c r="A7" s="242" t="s">
        <v>302</v>
      </c>
      <c r="B7" s="250">
        <f>B6</f>
        <v>2682442.4813999999</v>
      </c>
      <c r="C7" s="250">
        <f>B7+C6</f>
        <v>6187270.0111119989</v>
      </c>
      <c r="D7" s="250">
        <f>C7+D6</f>
        <v>11007255.346869942</v>
      </c>
      <c r="E7" s="250">
        <f>D7+E6</f>
        <v>14865256.156751703</v>
      </c>
      <c r="F7" s="251">
        <f t="shared" si="3"/>
        <v>516915.81000000006</v>
      </c>
      <c r="G7" s="251">
        <f t="shared" si="3"/>
        <v>516915.81000000006</v>
      </c>
      <c r="H7" s="251">
        <f t="shared" si="3"/>
        <v>516915.81000000006</v>
      </c>
      <c r="I7" s="251">
        <f t="shared" si="3"/>
        <v>516915.81000000006</v>
      </c>
      <c r="J7" s="251">
        <f t="shared" si="3"/>
        <v>516915.81000000006</v>
      </c>
      <c r="K7" s="251">
        <f t="shared" si="3"/>
        <v>516915.81000000006</v>
      </c>
      <c r="L7" s="251">
        <f t="shared" si="3"/>
        <v>516915.81000000006</v>
      </c>
      <c r="M7" s="251">
        <f t="shared" si="3"/>
        <v>516915.81000000006</v>
      </c>
      <c r="N7" s="251">
        <f t="shared" si="3"/>
        <v>516915.81000000006</v>
      </c>
      <c r="O7" s="251">
        <f t="shared" si="3"/>
        <v>516915.81000000006</v>
      </c>
      <c r="P7" s="251">
        <f t="shared" si="3"/>
        <v>516915.81000000006</v>
      </c>
      <c r="Q7" s="251">
        <f t="shared" si="3"/>
        <v>516915.81000000006</v>
      </c>
    </row>
    <row r="8" spans="1:17" hidden="1" x14ac:dyDescent="0.2">
      <c r="A8" s="244" t="s">
        <v>300</v>
      </c>
      <c r="B8" s="247" t="s">
        <v>203</v>
      </c>
      <c r="C8" s="247" t="s">
        <v>204</v>
      </c>
      <c r="D8" s="247" t="s">
        <v>205</v>
      </c>
      <c r="E8" s="247" t="s">
        <v>206</v>
      </c>
      <c r="F8" s="247" t="s">
        <v>207</v>
      </c>
      <c r="G8" s="247" t="s">
        <v>208</v>
      </c>
      <c r="H8" s="247" t="s">
        <v>209</v>
      </c>
      <c r="I8" s="247" t="s">
        <v>210</v>
      </c>
      <c r="J8" s="247" t="s">
        <v>211</v>
      </c>
      <c r="K8" s="247" t="s">
        <v>212</v>
      </c>
      <c r="L8" s="247" t="s">
        <v>213</v>
      </c>
      <c r="M8" s="247" t="s">
        <v>214</v>
      </c>
      <c r="N8" s="246">
        <v>0.1</v>
      </c>
    </row>
    <row r="9" spans="1:17" hidden="1" x14ac:dyDescent="0.2">
      <c r="A9" s="248" t="s">
        <v>142</v>
      </c>
      <c r="B9" s="239"/>
      <c r="C9" s="249">
        <f>$N9*$N$8</f>
        <v>920124.93284999998</v>
      </c>
      <c r="D9" s="249"/>
      <c r="E9" s="239"/>
      <c r="F9" s="239"/>
      <c r="G9" s="239"/>
      <c r="H9" s="239"/>
      <c r="I9" s="239"/>
      <c r="J9" s="239"/>
      <c r="K9" s="239"/>
      <c r="L9" s="239"/>
      <c r="M9" s="239"/>
      <c r="N9" s="239">
        <v>9201249.3284999989</v>
      </c>
      <c r="O9" s="237"/>
    </row>
    <row r="10" spans="1:17" hidden="1" x14ac:dyDescent="0.2">
      <c r="A10" s="248" t="s">
        <v>143</v>
      </c>
      <c r="B10" s="239">
        <v>71281.323000000004</v>
      </c>
      <c r="C10" s="249"/>
      <c r="D10" s="249"/>
      <c r="E10" s="239"/>
      <c r="F10" s="239"/>
      <c r="G10" s="239"/>
      <c r="H10" s="239"/>
      <c r="I10" s="239"/>
      <c r="J10" s="239"/>
      <c r="K10" s="239"/>
      <c r="L10" s="239"/>
      <c r="M10" s="239"/>
      <c r="N10" s="239">
        <v>662809.74552</v>
      </c>
      <c r="O10" s="245"/>
    </row>
    <row r="11" spans="1:17" hidden="1" x14ac:dyDescent="0.2">
      <c r="A11" s="248" t="s">
        <v>144</v>
      </c>
      <c r="B11" s="239"/>
      <c r="C11" s="249">
        <f>$N11*$N$8</f>
        <v>128652.50320200001</v>
      </c>
      <c r="D11" s="249"/>
      <c r="E11" s="239"/>
      <c r="F11" s="239"/>
      <c r="G11" s="239"/>
      <c r="H11" s="239"/>
      <c r="I11" s="239"/>
      <c r="J11" s="239"/>
      <c r="K11" s="239"/>
      <c r="L11" s="239"/>
      <c r="M11" s="239"/>
      <c r="N11" s="239">
        <v>1286525.03202</v>
      </c>
      <c r="O11" s="245"/>
    </row>
    <row r="12" spans="1:17" hidden="1" x14ac:dyDescent="0.2">
      <c r="A12" s="248" t="s">
        <v>145</v>
      </c>
      <c r="B12" s="239"/>
      <c r="C12" s="249">
        <f>$N12*$N$8</f>
        <v>52267.033800000005</v>
      </c>
      <c r="D12" s="249"/>
      <c r="E12" s="239"/>
      <c r="F12" s="239"/>
      <c r="G12" s="239"/>
      <c r="H12" s="239"/>
      <c r="I12" s="239"/>
      <c r="J12" s="239"/>
      <c r="K12" s="239"/>
      <c r="L12" s="239"/>
      <c r="M12" s="239"/>
      <c r="N12" s="239">
        <v>522670.33799999999</v>
      </c>
      <c r="O12" s="245"/>
    </row>
    <row r="13" spans="1:17" hidden="1" x14ac:dyDescent="0.2">
      <c r="A13" s="248" t="s">
        <v>172</v>
      </c>
      <c r="B13" s="239"/>
      <c r="C13" s="249">
        <f>$N13*$N$8</f>
        <v>74359.346399999995</v>
      </c>
      <c r="D13" s="249"/>
      <c r="E13" s="239"/>
      <c r="F13" s="239"/>
      <c r="G13" s="239"/>
      <c r="H13" s="239"/>
      <c r="I13" s="239"/>
      <c r="J13" s="239"/>
      <c r="K13" s="239"/>
      <c r="L13" s="239"/>
      <c r="M13" s="239"/>
      <c r="N13" s="239">
        <v>743593.46399999992</v>
      </c>
      <c r="O13" s="245"/>
    </row>
    <row r="14" spans="1:17" hidden="1" x14ac:dyDescent="0.2">
      <c r="A14" s="248" t="s">
        <v>146</v>
      </c>
      <c r="B14" s="239">
        <v>63335.4516</v>
      </c>
      <c r="C14" s="249"/>
      <c r="D14" s="249"/>
      <c r="E14" s="239"/>
      <c r="F14" s="239"/>
      <c r="G14" s="239"/>
      <c r="H14" s="239"/>
      <c r="I14" s="239"/>
      <c r="J14" s="239"/>
      <c r="K14" s="239"/>
      <c r="L14" s="239"/>
      <c r="M14" s="239"/>
      <c r="N14" s="239">
        <v>588935.40300000005</v>
      </c>
      <c r="O14" s="245"/>
    </row>
    <row r="15" spans="1:17" hidden="1" x14ac:dyDescent="0.2">
      <c r="A15" s="248" t="s">
        <v>173</v>
      </c>
      <c r="B15" s="239"/>
      <c r="C15" s="249">
        <f>$N15*$N$8</f>
        <v>35240.874642000002</v>
      </c>
      <c r="D15" s="249"/>
      <c r="E15" s="239"/>
      <c r="F15" s="239"/>
      <c r="G15" s="239"/>
      <c r="H15" s="239"/>
      <c r="I15" s="239"/>
      <c r="J15" s="239"/>
      <c r="K15" s="239"/>
      <c r="L15" s="239"/>
      <c r="M15" s="239"/>
      <c r="N15" s="239">
        <v>352408.74641999998</v>
      </c>
      <c r="O15" s="245"/>
    </row>
    <row r="16" spans="1:17" hidden="1" x14ac:dyDescent="0.2">
      <c r="A16" s="248" t="s">
        <v>147</v>
      </c>
      <c r="B16" s="239">
        <v>77315.673600000009</v>
      </c>
      <c r="C16" s="249"/>
      <c r="D16" s="249"/>
      <c r="E16" s="239"/>
      <c r="F16" s="239"/>
      <c r="G16" s="239"/>
      <c r="H16" s="239"/>
      <c r="I16" s="239"/>
      <c r="J16" s="239"/>
      <c r="K16" s="239"/>
      <c r="L16" s="239"/>
      <c r="M16" s="239"/>
      <c r="N16" s="239">
        <v>718931.28384000005</v>
      </c>
      <c r="O16" s="245"/>
    </row>
    <row r="17" spans="1:15" hidden="1" x14ac:dyDescent="0.2">
      <c r="A17" s="248" t="s">
        <v>148</v>
      </c>
      <c r="B17" s="239"/>
      <c r="C17" s="249">
        <f>$N17*$N$8</f>
        <v>114486.85774800001</v>
      </c>
      <c r="D17" s="249"/>
      <c r="E17" s="239"/>
      <c r="F17" s="239"/>
      <c r="G17" s="239"/>
      <c r="H17" s="239"/>
      <c r="I17" s="239"/>
      <c r="J17" s="239"/>
      <c r="K17" s="239"/>
      <c r="L17" s="239"/>
      <c r="M17" s="239"/>
      <c r="N17" s="239">
        <v>1144868.57748</v>
      </c>
      <c r="O17" s="245"/>
    </row>
    <row r="18" spans="1:15" hidden="1" x14ac:dyDescent="0.2">
      <c r="A18" s="248" t="s">
        <v>131</v>
      </c>
      <c r="B18" s="239"/>
      <c r="C18" s="249"/>
      <c r="D18" s="249"/>
      <c r="E18" s="239"/>
      <c r="F18" s="239"/>
      <c r="G18" s="239"/>
      <c r="H18" s="239"/>
      <c r="I18" s="239"/>
      <c r="J18" s="239"/>
      <c r="K18" s="239"/>
      <c r="L18" s="239"/>
      <c r="M18" s="239"/>
      <c r="N18" s="239">
        <v>1184431.44</v>
      </c>
      <c r="O18" s="245"/>
    </row>
    <row r="19" spans="1:15" hidden="1" x14ac:dyDescent="0.2">
      <c r="A19" s="248" t="s">
        <v>132</v>
      </c>
      <c r="B19" s="239"/>
      <c r="C19" s="249">
        <f>$N19*$N$8</f>
        <v>166281.82902</v>
      </c>
      <c r="D19" s="249"/>
      <c r="E19" s="239"/>
      <c r="F19" s="239"/>
      <c r="G19" s="239"/>
      <c r="H19" s="239"/>
      <c r="I19" s="239"/>
      <c r="J19" s="239"/>
      <c r="K19" s="239"/>
      <c r="L19" s="239"/>
      <c r="M19" s="239"/>
      <c r="N19" s="239">
        <v>1662818.2901999999</v>
      </c>
      <c r="O19" s="245"/>
    </row>
    <row r="20" spans="1:15" hidden="1" x14ac:dyDescent="0.2">
      <c r="A20" s="248" t="s">
        <v>133</v>
      </c>
      <c r="B20" s="239"/>
      <c r="C20" s="249">
        <f>$N20*$N$8</f>
        <v>22849.79724</v>
      </c>
      <c r="D20" s="249"/>
      <c r="E20" s="239"/>
      <c r="F20" s="239"/>
      <c r="G20" s="239"/>
      <c r="H20" s="239"/>
      <c r="I20" s="239"/>
      <c r="J20" s="239"/>
      <c r="K20" s="239"/>
      <c r="L20" s="239"/>
      <c r="M20" s="239"/>
      <c r="N20" s="239">
        <v>228497.9724</v>
      </c>
      <c r="O20" s="245"/>
    </row>
    <row r="21" spans="1:15" hidden="1" x14ac:dyDescent="0.2">
      <c r="A21" s="248" t="s">
        <v>170</v>
      </c>
      <c r="B21" s="239"/>
      <c r="C21" s="249"/>
      <c r="D21" s="249">
        <f>$N21*$N$8</f>
        <v>123391.452</v>
      </c>
      <c r="E21" s="239"/>
      <c r="F21" s="239"/>
      <c r="G21" s="239"/>
      <c r="H21" s="239"/>
      <c r="I21" s="239"/>
      <c r="J21" s="239"/>
      <c r="K21" s="239"/>
      <c r="L21" s="239"/>
      <c r="M21" s="239"/>
      <c r="N21" s="239">
        <v>1233914.52</v>
      </c>
      <c r="O21" s="245"/>
    </row>
    <row r="22" spans="1:15" hidden="1" x14ac:dyDescent="0.2">
      <c r="A22" s="248" t="s">
        <v>174</v>
      </c>
      <c r="B22" s="239"/>
      <c r="C22" s="249"/>
      <c r="D22" s="249">
        <f>$N22*$N$8</f>
        <v>19661.28</v>
      </c>
      <c r="E22" s="239"/>
      <c r="F22" s="239"/>
      <c r="G22" s="239"/>
      <c r="H22" s="239"/>
      <c r="I22" s="239"/>
      <c r="J22" s="239"/>
      <c r="K22" s="239"/>
      <c r="L22" s="239"/>
      <c r="M22" s="239"/>
      <c r="N22" s="239">
        <v>196612.8</v>
      </c>
      <c r="O22" s="245"/>
    </row>
    <row r="23" spans="1:15" hidden="1" x14ac:dyDescent="0.2">
      <c r="A23" s="248" t="s">
        <v>183</v>
      </c>
      <c r="B23" s="239"/>
      <c r="C23" s="249"/>
      <c r="D23" s="249">
        <f>$N23*$N$8</f>
        <v>9032.7899999999991</v>
      </c>
      <c r="E23" s="239"/>
      <c r="F23" s="239"/>
      <c r="G23" s="239"/>
      <c r="H23" s="239"/>
      <c r="I23" s="239"/>
      <c r="J23" s="239"/>
      <c r="K23" s="239"/>
      <c r="L23" s="239"/>
      <c r="M23" s="239"/>
      <c r="N23" s="239">
        <v>90327.9</v>
      </c>
      <c r="O23" s="245"/>
    </row>
    <row r="24" spans="1:15" hidden="1" x14ac:dyDescent="0.2">
      <c r="A24" s="248" t="s">
        <v>191</v>
      </c>
      <c r="B24" s="239"/>
      <c r="C24" s="249"/>
      <c r="D24" s="249">
        <f>$N24*$N$8</f>
        <v>687.50200000000007</v>
      </c>
      <c r="E24" s="239"/>
      <c r="F24" s="239"/>
      <c r="G24" s="239"/>
      <c r="H24" s="239"/>
      <c r="I24" s="239"/>
      <c r="J24" s="239"/>
      <c r="K24" s="239"/>
      <c r="L24" s="239"/>
      <c r="M24" s="239"/>
      <c r="N24" s="239">
        <v>6875.02</v>
      </c>
      <c r="O24" s="245"/>
    </row>
    <row r="25" spans="1:15" hidden="1" x14ac:dyDescent="0.2">
      <c r="A25" s="248" t="s">
        <v>192</v>
      </c>
      <c r="B25" s="239"/>
      <c r="C25" s="249"/>
      <c r="D25" s="249"/>
      <c r="E25" s="239"/>
      <c r="F25" s="239"/>
      <c r="G25" s="239"/>
      <c r="H25" s="239"/>
      <c r="I25" s="239"/>
      <c r="J25" s="239"/>
      <c r="K25" s="239"/>
      <c r="L25" s="239"/>
      <c r="M25" s="239"/>
      <c r="N25" s="239">
        <v>2296610.9700000002</v>
      </c>
      <c r="O25" s="245"/>
    </row>
    <row r="26" spans="1:15" hidden="1" x14ac:dyDescent="0.2">
      <c r="A26" s="248" t="s">
        <v>219</v>
      </c>
      <c r="B26" s="239"/>
      <c r="C26" s="249"/>
      <c r="D26" s="249">
        <f>$N26*$N$8</f>
        <v>11773.154</v>
      </c>
      <c r="E26" s="239"/>
      <c r="F26" s="239"/>
      <c r="G26" s="239"/>
      <c r="H26" s="239"/>
      <c r="I26" s="239"/>
      <c r="J26" s="239"/>
      <c r="K26" s="239"/>
      <c r="L26" s="239"/>
      <c r="M26" s="239"/>
      <c r="N26" s="239">
        <v>117731.54</v>
      </c>
      <c r="O26" s="245"/>
    </row>
    <row r="27" spans="1:15" hidden="1" x14ac:dyDescent="0.2">
      <c r="A27" s="248" t="s">
        <v>193</v>
      </c>
      <c r="B27" s="239"/>
      <c r="C27" s="249"/>
      <c r="D27" s="249">
        <f>$N27*$N$8</f>
        <v>939.57999999999993</v>
      </c>
      <c r="E27" s="239"/>
      <c r="F27" s="239"/>
      <c r="G27" s="239"/>
      <c r="H27" s="239"/>
      <c r="I27" s="239"/>
      <c r="J27" s="239"/>
      <c r="K27" s="239"/>
      <c r="L27" s="239"/>
      <c r="M27" s="239"/>
      <c r="N27" s="239">
        <v>9395.7999999999993</v>
      </c>
      <c r="O27" s="245"/>
    </row>
    <row r="28" spans="1:15" hidden="1" x14ac:dyDescent="0.2">
      <c r="A28" s="248" t="s">
        <v>195</v>
      </c>
      <c r="B28" s="239"/>
      <c r="C28" s="249"/>
      <c r="D28" s="249">
        <f>$N28*$N$8</f>
        <v>24760.771000000001</v>
      </c>
      <c r="E28" s="239"/>
      <c r="F28" s="239"/>
      <c r="G28" s="239"/>
      <c r="H28" s="239"/>
      <c r="I28" s="239"/>
      <c r="J28" s="239"/>
      <c r="K28" s="239"/>
      <c r="L28" s="239"/>
      <c r="M28" s="239"/>
      <c r="N28" s="239">
        <v>247607.71</v>
      </c>
      <c r="O28" s="245"/>
    </row>
    <row r="29" spans="1:15" hidden="1" x14ac:dyDescent="0.2">
      <c r="A29" s="248" t="s">
        <v>251</v>
      </c>
      <c r="B29" s="239"/>
      <c r="C29" s="239"/>
      <c r="D29" s="239"/>
      <c r="E29" s="239"/>
      <c r="F29" s="239"/>
      <c r="G29" s="239"/>
      <c r="H29" s="239"/>
      <c r="I29" s="239"/>
      <c r="J29" s="239"/>
      <c r="K29" s="239"/>
      <c r="L29" s="239"/>
      <c r="M29" s="239"/>
      <c r="N29" s="239">
        <v>569099.72</v>
      </c>
      <c r="O29" s="245"/>
    </row>
    <row r="30" spans="1:15" hidden="1" x14ac:dyDescent="0.2">
      <c r="A30" s="248" t="s">
        <v>304</v>
      </c>
      <c r="B30" s="239"/>
      <c r="C30" s="239"/>
      <c r="D30" s="239"/>
      <c r="E30" s="239">
        <f>$N$8*N30</f>
        <v>112596.797034</v>
      </c>
      <c r="F30" s="239"/>
      <c r="G30" s="239"/>
      <c r="H30" s="239"/>
      <c r="I30" s="239"/>
      <c r="J30" s="239"/>
      <c r="K30" s="239"/>
      <c r="L30" s="239"/>
      <c r="M30" s="239"/>
      <c r="N30" s="239">
        <v>1125967.97034</v>
      </c>
      <c r="O30" s="245"/>
    </row>
    <row r="31" spans="1:15" hidden="1" x14ac:dyDescent="0.2">
      <c r="A31" s="248" t="s">
        <v>305</v>
      </c>
      <c r="B31" s="239"/>
      <c r="C31" s="239"/>
      <c r="D31" s="239"/>
      <c r="E31" s="239">
        <f t="shared" ref="E31:E34" si="4">$N$8*N31</f>
        <v>41547.231090000001</v>
      </c>
      <c r="F31" s="239"/>
      <c r="G31" s="239"/>
      <c r="H31" s="239"/>
      <c r="I31" s="239"/>
      <c r="J31" s="239"/>
      <c r="K31" s="239"/>
      <c r="L31" s="239"/>
      <c r="M31" s="239"/>
      <c r="N31" s="239">
        <v>415472.31089999998</v>
      </c>
      <c r="O31" s="245"/>
    </row>
    <row r="32" spans="1:15" hidden="1" x14ac:dyDescent="0.2">
      <c r="A32" s="248" t="s">
        <v>306</v>
      </c>
      <c r="B32" s="239"/>
      <c r="C32" s="239"/>
      <c r="D32" s="239"/>
      <c r="E32" s="239">
        <f t="shared" si="4"/>
        <v>121989.60657000002</v>
      </c>
      <c r="F32" s="239"/>
      <c r="G32" s="239"/>
      <c r="H32" s="239"/>
      <c r="I32" s="239"/>
      <c r="J32" s="239"/>
      <c r="K32" s="239"/>
      <c r="L32" s="239"/>
      <c r="M32" s="239"/>
      <c r="N32" s="239">
        <v>1219896.0657000002</v>
      </c>
      <c r="O32" s="245"/>
    </row>
    <row r="33" spans="1:15" hidden="1" x14ac:dyDescent="0.2">
      <c r="A33" s="248" t="s">
        <v>307</v>
      </c>
      <c r="B33" s="239"/>
      <c r="C33" s="239"/>
      <c r="D33" s="239"/>
      <c r="E33" s="239">
        <f t="shared" si="4"/>
        <v>13999.307525999999</v>
      </c>
      <c r="F33" s="239"/>
      <c r="G33" s="239"/>
      <c r="H33" s="239"/>
      <c r="I33" s="239"/>
      <c r="J33" s="239"/>
      <c r="K33" s="239"/>
      <c r="L33" s="239"/>
      <c r="M33" s="239"/>
      <c r="N33" s="239">
        <v>139993.07525999998</v>
      </c>
      <c r="O33" s="245"/>
    </row>
    <row r="34" spans="1:15" hidden="1" x14ac:dyDescent="0.2">
      <c r="A34" s="248" t="s">
        <v>309</v>
      </c>
      <c r="B34" s="239"/>
      <c r="C34" s="239"/>
      <c r="D34" s="239"/>
      <c r="E34" s="239">
        <f t="shared" si="4"/>
        <v>8227.3161240000009</v>
      </c>
      <c r="F34" s="239"/>
      <c r="G34" s="239"/>
      <c r="H34" s="239"/>
      <c r="I34" s="239"/>
      <c r="J34" s="239"/>
      <c r="K34" s="239"/>
      <c r="L34" s="239"/>
      <c r="M34" s="239"/>
      <c r="N34" s="239">
        <v>82273.161240000001</v>
      </c>
      <c r="O34" s="245"/>
    </row>
    <row r="35" spans="1:15" hidden="1" x14ac:dyDescent="0.2">
      <c r="A35" s="238"/>
      <c r="B35" s="239"/>
      <c r="C35" s="239"/>
      <c r="D35" s="239"/>
      <c r="E35" s="239"/>
      <c r="F35" s="239"/>
      <c r="G35" s="239"/>
      <c r="H35" s="239"/>
      <c r="I35" s="239"/>
      <c r="J35" s="239"/>
      <c r="K35" s="239"/>
      <c r="L35" s="239"/>
      <c r="M35" s="239"/>
    </row>
    <row r="36" spans="1:15" hidden="1" x14ac:dyDescent="0.2">
      <c r="A36" s="244" t="s">
        <v>296</v>
      </c>
      <c r="B36" s="247" t="s">
        <v>203</v>
      </c>
      <c r="C36" s="247" t="s">
        <v>204</v>
      </c>
      <c r="D36" s="247" t="s">
        <v>205</v>
      </c>
      <c r="E36" s="247" t="s">
        <v>206</v>
      </c>
      <c r="F36" s="247" t="s">
        <v>207</v>
      </c>
      <c r="G36" s="247" t="s">
        <v>208</v>
      </c>
      <c r="H36" s="247" t="s">
        <v>209</v>
      </c>
      <c r="I36" s="247" t="s">
        <v>210</v>
      </c>
      <c r="J36" s="247" t="s">
        <v>211</v>
      </c>
      <c r="K36" s="247" t="s">
        <v>212</v>
      </c>
      <c r="L36" s="247" t="s">
        <v>213</v>
      </c>
      <c r="M36" s="247" t="s">
        <v>214</v>
      </c>
      <c r="N36" s="246">
        <v>0.2</v>
      </c>
    </row>
    <row r="37" spans="1:15" hidden="1" x14ac:dyDescent="0.2">
      <c r="A37" s="248" t="s">
        <v>142</v>
      </c>
      <c r="B37" s="239"/>
      <c r="D37" s="249">
        <f>$N37*$N$36</f>
        <v>1840249.8657</v>
      </c>
      <c r="N37" s="239">
        <v>9201249.3284999989</v>
      </c>
      <c r="O37" s="245"/>
    </row>
    <row r="38" spans="1:15" hidden="1" x14ac:dyDescent="0.2">
      <c r="A38" s="248" t="s">
        <v>143</v>
      </c>
      <c r="C38" s="249">
        <f>$N38*$N$36</f>
        <v>132561.949104</v>
      </c>
      <c r="N38" s="239">
        <v>662809.74552</v>
      </c>
      <c r="O38" s="245"/>
    </row>
    <row r="39" spans="1:15" hidden="1" x14ac:dyDescent="0.2">
      <c r="A39" s="248" t="s">
        <v>144</v>
      </c>
      <c r="C39" s="249">
        <f>$N39*$N$36</f>
        <v>257305.00640400001</v>
      </c>
      <c r="N39" s="239">
        <v>1286525.03202</v>
      </c>
      <c r="O39" s="245"/>
    </row>
    <row r="40" spans="1:15" hidden="1" x14ac:dyDescent="0.2">
      <c r="A40" s="248" t="s">
        <v>145</v>
      </c>
      <c r="C40" s="249">
        <f>$N40*$N$36</f>
        <v>104534.06760000001</v>
      </c>
      <c r="N40" s="239">
        <v>522670.33799999999</v>
      </c>
      <c r="O40" s="245"/>
    </row>
    <row r="41" spans="1:15" hidden="1" x14ac:dyDescent="0.2">
      <c r="A41" s="248" t="s">
        <v>172</v>
      </c>
      <c r="D41" s="249">
        <f>$N41*$N$36</f>
        <v>148718.69279999999</v>
      </c>
      <c r="N41" s="239">
        <v>743593.46399999992</v>
      </c>
      <c r="O41" s="245"/>
    </row>
    <row r="42" spans="1:15" hidden="1" x14ac:dyDescent="0.2">
      <c r="A42" s="248" t="s">
        <v>146</v>
      </c>
      <c r="C42" s="249">
        <f>$N42*$N$36</f>
        <v>117787.08060000002</v>
      </c>
      <c r="N42" s="239">
        <v>588935.40300000005</v>
      </c>
      <c r="O42" s="245"/>
    </row>
    <row r="43" spans="1:15" hidden="1" x14ac:dyDescent="0.2">
      <c r="A43" s="248" t="s">
        <v>173</v>
      </c>
      <c r="C43" s="249"/>
      <c r="D43" s="249">
        <f>$N43*$N$36</f>
        <v>70481.749284000005</v>
      </c>
      <c r="N43" s="239">
        <v>352408.74641999998</v>
      </c>
      <c r="O43" s="245"/>
    </row>
    <row r="44" spans="1:15" hidden="1" x14ac:dyDescent="0.2">
      <c r="A44" s="248" t="s">
        <v>147</v>
      </c>
      <c r="C44" s="249">
        <f>$N44*$N$36</f>
        <v>143786.25676800002</v>
      </c>
      <c r="N44" s="239">
        <v>718931.28384000005</v>
      </c>
      <c r="O44" s="245"/>
    </row>
    <row r="45" spans="1:15" hidden="1" x14ac:dyDescent="0.2">
      <c r="A45" s="248" t="s">
        <v>148</v>
      </c>
      <c r="D45" s="249">
        <f>$N45*$N$36</f>
        <v>228973.71549600002</v>
      </c>
      <c r="N45" s="239">
        <v>1144868.57748</v>
      </c>
      <c r="O45" s="245"/>
    </row>
    <row r="46" spans="1:15" hidden="1" x14ac:dyDescent="0.2">
      <c r="A46" s="248" t="s">
        <v>131</v>
      </c>
      <c r="N46" s="239">
        <v>1184431.44</v>
      </c>
      <c r="O46" s="245"/>
    </row>
    <row r="47" spans="1:15" hidden="1" x14ac:dyDescent="0.2">
      <c r="A47" s="248" t="s">
        <v>132</v>
      </c>
      <c r="D47" s="249">
        <f>$N47*$N$36</f>
        <v>332563.65804000001</v>
      </c>
      <c r="N47" s="239">
        <v>1662818.2901999999</v>
      </c>
      <c r="O47" s="245"/>
    </row>
    <row r="48" spans="1:15" hidden="1" x14ac:dyDescent="0.2">
      <c r="A48" s="248" t="s">
        <v>133</v>
      </c>
      <c r="C48" s="249">
        <f>$N48*$N$36</f>
        <v>45699.59448</v>
      </c>
      <c r="N48" s="239">
        <v>228497.9724</v>
      </c>
      <c r="O48" s="245"/>
    </row>
    <row r="49" spans="1:15" hidden="1" x14ac:dyDescent="0.2">
      <c r="A49" s="248" t="s">
        <v>170</v>
      </c>
      <c r="D49" s="249">
        <f>$N49*$N$36</f>
        <v>246782.90400000001</v>
      </c>
      <c r="N49" s="239">
        <v>1233914.52</v>
      </c>
      <c r="O49" s="245"/>
    </row>
    <row r="50" spans="1:15" hidden="1" x14ac:dyDescent="0.2">
      <c r="A50" s="248" t="s">
        <v>174</v>
      </c>
      <c r="D50" s="249">
        <f>$N50*$N$36</f>
        <v>39322.559999999998</v>
      </c>
      <c r="N50" s="239">
        <v>196612.8</v>
      </c>
      <c r="O50" s="245"/>
    </row>
    <row r="51" spans="1:15" hidden="1" x14ac:dyDescent="0.2">
      <c r="A51" s="248" t="s">
        <v>183</v>
      </c>
      <c r="D51" s="249">
        <f>$N51*$N$36</f>
        <v>18065.579999999998</v>
      </c>
      <c r="N51" s="239">
        <v>90327.9</v>
      </c>
      <c r="O51" s="245"/>
    </row>
    <row r="52" spans="1:15" hidden="1" x14ac:dyDescent="0.2">
      <c r="A52" s="248" t="s">
        <v>191</v>
      </c>
      <c r="D52" s="249">
        <f>$N52*$N$36</f>
        <v>1375.0040000000001</v>
      </c>
      <c r="N52" s="239">
        <v>6875.02</v>
      </c>
      <c r="O52" s="245"/>
    </row>
    <row r="53" spans="1:15" hidden="1" x14ac:dyDescent="0.2">
      <c r="A53" s="248" t="s">
        <v>192</v>
      </c>
      <c r="N53" s="239">
        <v>2296610.9700000002</v>
      </c>
      <c r="O53" s="245"/>
    </row>
    <row r="54" spans="1:15" hidden="1" x14ac:dyDescent="0.2">
      <c r="A54" s="248" t="s">
        <v>219</v>
      </c>
      <c r="D54" s="249"/>
      <c r="E54" s="239">
        <f>$N$36*N54</f>
        <v>23546.308000000001</v>
      </c>
      <c r="N54" s="239">
        <v>117731.54</v>
      </c>
      <c r="O54" s="245"/>
    </row>
    <row r="55" spans="1:15" hidden="1" x14ac:dyDescent="0.2">
      <c r="A55" s="248" t="s">
        <v>193</v>
      </c>
      <c r="E55" s="239">
        <f>$N$36*N55</f>
        <v>1879.1599999999999</v>
      </c>
      <c r="N55" s="239">
        <v>9395.7999999999993</v>
      </c>
      <c r="O55" s="245"/>
    </row>
    <row r="56" spans="1:15" hidden="1" x14ac:dyDescent="0.2">
      <c r="A56" s="248" t="s">
        <v>195</v>
      </c>
      <c r="E56" s="239">
        <f>$N$36*N56</f>
        <v>49521.542000000001</v>
      </c>
      <c r="N56" s="239">
        <v>247607.71</v>
      </c>
      <c r="O56" s="245"/>
    </row>
    <row r="57" spans="1:15" hidden="1" x14ac:dyDescent="0.2">
      <c r="A57" s="248" t="s">
        <v>251</v>
      </c>
      <c r="N57" s="239">
        <v>569099.72</v>
      </c>
      <c r="O57" s="245"/>
    </row>
    <row r="58" spans="1:15" hidden="1" x14ac:dyDescent="0.2">
      <c r="A58" s="248" t="s">
        <v>304</v>
      </c>
      <c r="B58" s="239"/>
      <c r="C58" s="239"/>
      <c r="D58" s="239"/>
      <c r="E58" s="239"/>
      <c r="F58" s="239"/>
      <c r="G58" s="239"/>
      <c r="H58" s="239"/>
      <c r="I58" s="239"/>
      <c r="J58" s="239"/>
      <c r="K58" s="239"/>
      <c r="L58" s="239"/>
      <c r="M58" s="239"/>
      <c r="N58" s="239">
        <v>1125967.97034</v>
      </c>
      <c r="O58" s="245"/>
    </row>
    <row r="59" spans="1:15" hidden="1" x14ac:dyDescent="0.2">
      <c r="A59" s="248" t="s">
        <v>305</v>
      </c>
      <c r="B59" s="239"/>
      <c r="C59" s="239"/>
      <c r="D59" s="239"/>
      <c r="E59" s="239"/>
      <c r="F59" s="239"/>
      <c r="G59" s="239"/>
      <c r="H59" s="239"/>
      <c r="I59" s="239"/>
      <c r="J59" s="239"/>
      <c r="K59" s="239"/>
      <c r="L59" s="239"/>
      <c r="M59" s="239"/>
      <c r="N59" s="239">
        <v>415472.31089999998</v>
      </c>
      <c r="O59" s="245"/>
    </row>
    <row r="60" spans="1:15" hidden="1" x14ac:dyDescent="0.2">
      <c r="A60" s="248" t="s">
        <v>306</v>
      </c>
      <c r="B60" s="239"/>
      <c r="C60" s="239"/>
      <c r="D60" s="239"/>
      <c r="E60" s="239"/>
      <c r="F60" s="239"/>
      <c r="G60" s="239"/>
      <c r="H60" s="239"/>
      <c r="I60" s="239"/>
      <c r="J60" s="239"/>
      <c r="K60" s="239"/>
      <c r="L60" s="239"/>
      <c r="M60" s="239"/>
      <c r="N60" s="239">
        <v>1219896.0657000002</v>
      </c>
      <c r="O60" s="245"/>
    </row>
    <row r="61" spans="1:15" hidden="1" x14ac:dyDescent="0.2">
      <c r="A61" s="248" t="s">
        <v>307</v>
      </c>
      <c r="B61" s="239"/>
      <c r="C61" s="239"/>
      <c r="D61" s="239"/>
      <c r="E61" s="239"/>
      <c r="F61" s="239"/>
      <c r="G61" s="239"/>
      <c r="H61" s="239"/>
      <c r="I61" s="239"/>
      <c r="J61" s="239"/>
      <c r="K61" s="239"/>
      <c r="L61" s="239"/>
      <c r="M61" s="239"/>
      <c r="N61" s="239">
        <v>139993.07525999998</v>
      </c>
      <c r="O61" s="245"/>
    </row>
    <row r="62" spans="1:15" hidden="1" x14ac:dyDescent="0.2">
      <c r="A62" s="248" t="s">
        <v>309</v>
      </c>
      <c r="B62" s="239"/>
      <c r="C62" s="239"/>
      <c r="D62" s="239"/>
      <c r="E62" s="239">
        <f>$N$36*N62</f>
        <v>16454.632248000002</v>
      </c>
      <c r="F62" s="239"/>
      <c r="G62" s="239"/>
      <c r="H62" s="239"/>
      <c r="I62" s="239"/>
      <c r="J62" s="239"/>
      <c r="K62" s="239"/>
      <c r="L62" s="239"/>
      <c r="M62" s="239"/>
      <c r="N62" s="239">
        <v>82273.161240000001</v>
      </c>
      <c r="O62" s="245"/>
    </row>
    <row r="63" spans="1:15" hidden="1" x14ac:dyDescent="0.2">
      <c r="A63" s="238"/>
    </row>
    <row r="64" spans="1:15" hidden="1" x14ac:dyDescent="0.2">
      <c r="A64" s="244" t="s">
        <v>299</v>
      </c>
      <c r="B64" s="247" t="s">
        <v>203</v>
      </c>
      <c r="C64" s="247" t="s">
        <v>204</v>
      </c>
      <c r="D64" s="247" t="s">
        <v>205</v>
      </c>
      <c r="E64" s="247" t="s">
        <v>206</v>
      </c>
      <c r="F64" s="247" t="s">
        <v>207</v>
      </c>
      <c r="G64" s="247" t="s">
        <v>208</v>
      </c>
      <c r="H64" s="247" t="s">
        <v>209</v>
      </c>
      <c r="I64" s="247" t="s">
        <v>210</v>
      </c>
      <c r="J64" s="247" t="s">
        <v>211</v>
      </c>
      <c r="K64" s="247" t="s">
        <v>212</v>
      </c>
      <c r="L64" s="247" t="s">
        <v>213</v>
      </c>
      <c r="M64" s="247" t="s">
        <v>214</v>
      </c>
      <c r="N64" s="246"/>
    </row>
    <row r="65" spans="1:15" hidden="1" x14ac:dyDescent="0.2">
      <c r="A65" s="248" t="s">
        <v>142</v>
      </c>
      <c r="D65" s="249">
        <v>276037.47985499998</v>
      </c>
      <c r="E65" s="239">
        <v>828112.43956499989</v>
      </c>
      <c r="F65" s="239"/>
      <c r="G65" s="239"/>
      <c r="H65" s="239"/>
      <c r="I65" s="239"/>
      <c r="J65" s="239"/>
      <c r="K65" s="239"/>
      <c r="N65" s="239">
        <v>9201249.3284999989</v>
      </c>
      <c r="O65" s="245"/>
    </row>
    <row r="66" spans="1:15" hidden="1" x14ac:dyDescent="0.2">
      <c r="A66" s="248" t="s">
        <v>143</v>
      </c>
      <c r="C66" s="249">
        <f>$N66*10%</f>
        <v>66280.974552</v>
      </c>
      <c r="D66" s="249">
        <v>212099.11690191223</v>
      </c>
      <c r="E66" s="239"/>
      <c r="N66" s="239">
        <v>662809.74552</v>
      </c>
      <c r="O66" s="245"/>
    </row>
    <row r="67" spans="1:15" hidden="1" x14ac:dyDescent="0.2">
      <c r="A67" s="248" t="s">
        <v>144</v>
      </c>
      <c r="D67" s="294"/>
      <c r="E67" s="239">
        <v>821846.04187287646</v>
      </c>
      <c r="N67" s="239">
        <v>1286525.03202</v>
      </c>
      <c r="O67" s="245"/>
    </row>
    <row r="68" spans="1:15" hidden="1" x14ac:dyDescent="0.2">
      <c r="A68" s="248" t="s">
        <v>145</v>
      </c>
      <c r="D68" s="249">
        <v>104533.87975866171</v>
      </c>
      <c r="E68" s="239">
        <f>253945.117423346+0.45</f>
        <v>253945.56742334602</v>
      </c>
      <c r="N68" s="239">
        <v>522670.33799999999</v>
      </c>
      <c r="O68" s="245"/>
    </row>
    <row r="69" spans="1:15" hidden="1" x14ac:dyDescent="0.2">
      <c r="A69" s="248" t="s">
        <v>172</v>
      </c>
      <c r="D69" s="239"/>
      <c r="E69" s="239"/>
      <c r="N69" s="239">
        <v>743593.46399999992</v>
      </c>
      <c r="O69" s="245"/>
    </row>
    <row r="70" spans="1:15" hidden="1" x14ac:dyDescent="0.2">
      <c r="A70" s="248" t="s">
        <v>146</v>
      </c>
      <c r="C70" s="249">
        <f>$N70*5%</f>
        <v>29446.770150000004</v>
      </c>
      <c r="D70" s="249">
        <v>206127.39105000001</v>
      </c>
      <c r="E70" s="239">
        <v>117787.08060000002</v>
      </c>
      <c r="N70" s="239">
        <v>588935.40300000005</v>
      </c>
      <c r="O70" s="245"/>
    </row>
    <row r="71" spans="1:15" hidden="1" x14ac:dyDescent="0.2">
      <c r="A71" s="248" t="s">
        <v>173</v>
      </c>
      <c r="D71" s="249">
        <v>17620.443832368219</v>
      </c>
      <c r="E71" s="239">
        <v>204726.93386942247</v>
      </c>
      <c r="N71" s="239">
        <v>352408.74641999998</v>
      </c>
      <c r="O71" s="245"/>
    </row>
    <row r="72" spans="1:15" hidden="1" x14ac:dyDescent="0.2">
      <c r="A72" s="248" t="s">
        <v>147</v>
      </c>
      <c r="C72" s="249">
        <f>$N72*30%-0.26</f>
        <v>215679.12515199999</v>
      </c>
      <c r="D72" s="249">
        <f>282148.78104+0.15</f>
        <v>282148.93104</v>
      </c>
      <c r="E72" s="239"/>
      <c r="N72" s="239">
        <v>718931.28384000005</v>
      </c>
      <c r="O72" s="245"/>
    </row>
    <row r="73" spans="1:15" hidden="1" x14ac:dyDescent="0.2">
      <c r="A73" s="248" t="s">
        <v>148</v>
      </c>
      <c r="D73" s="239"/>
      <c r="E73" s="239"/>
      <c r="N73" s="239">
        <v>1144868.57748</v>
      </c>
      <c r="O73" s="245"/>
    </row>
    <row r="74" spans="1:15" hidden="1" x14ac:dyDescent="0.2">
      <c r="A74" s="248" t="s">
        <v>131</v>
      </c>
      <c r="D74" s="239"/>
      <c r="E74" s="239"/>
      <c r="N74" s="239">
        <v>1184431.44</v>
      </c>
      <c r="O74" s="245"/>
    </row>
    <row r="75" spans="1:15" hidden="1" x14ac:dyDescent="0.2">
      <c r="A75" s="248" t="s">
        <v>132</v>
      </c>
      <c r="D75" s="239"/>
      <c r="E75" s="239">
        <v>448960.93835399998</v>
      </c>
      <c r="N75" s="239">
        <v>1662818.2901999999</v>
      </c>
      <c r="O75" s="245"/>
    </row>
    <row r="76" spans="1:15" hidden="1" x14ac:dyDescent="0.2">
      <c r="A76" s="248" t="s">
        <v>133</v>
      </c>
      <c r="C76" s="249"/>
      <c r="D76" s="249">
        <v>45699.466</v>
      </c>
      <c r="E76" s="239">
        <v>34274.599499999997</v>
      </c>
      <c r="N76" s="239">
        <v>228497.9724</v>
      </c>
      <c r="O76" s="245"/>
    </row>
    <row r="77" spans="1:15" hidden="1" x14ac:dyDescent="0.2">
      <c r="A77" s="248" t="s">
        <v>170</v>
      </c>
      <c r="D77" s="239"/>
      <c r="E77" s="239">
        <v>98713.161600000007</v>
      </c>
      <c r="N77" s="239">
        <v>1233914.52</v>
      </c>
      <c r="O77" s="245"/>
    </row>
    <row r="78" spans="1:15" hidden="1" x14ac:dyDescent="0.2">
      <c r="A78" s="248" t="s">
        <v>174</v>
      </c>
      <c r="D78" s="239"/>
      <c r="E78" s="239"/>
      <c r="N78" s="239">
        <v>196612.8</v>
      </c>
      <c r="O78" s="245"/>
    </row>
    <row r="79" spans="1:15" hidden="1" x14ac:dyDescent="0.2">
      <c r="A79" s="248" t="s">
        <v>183</v>
      </c>
      <c r="D79" s="249">
        <v>40647.554999999993</v>
      </c>
      <c r="E79" s="239">
        <v>22581.974999999999</v>
      </c>
      <c r="N79" s="239">
        <v>90327.9</v>
      </c>
      <c r="O79" s="245"/>
    </row>
    <row r="80" spans="1:15" hidden="1" x14ac:dyDescent="0.2">
      <c r="A80" s="248" t="s">
        <v>191</v>
      </c>
      <c r="D80" s="249">
        <v>1375.0040000000001</v>
      </c>
      <c r="E80" s="239">
        <v>3226.8696671165594</v>
      </c>
      <c r="N80" s="239">
        <v>6875.02</v>
      </c>
      <c r="O80" s="245"/>
    </row>
    <row r="81" spans="1:15" hidden="1" x14ac:dyDescent="0.2">
      <c r="A81" s="248" t="s">
        <v>192</v>
      </c>
      <c r="E81" s="239"/>
      <c r="N81" s="239">
        <v>2296610.9700000002</v>
      </c>
      <c r="O81" s="245"/>
    </row>
    <row r="82" spans="1:15" hidden="1" x14ac:dyDescent="0.2">
      <c r="A82" s="248" t="s">
        <v>219</v>
      </c>
      <c r="E82" s="239">
        <v>52979.192999999992</v>
      </c>
      <c r="N82" s="239">
        <v>117731.54</v>
      </c>
      <c r="O82" s="245"/>
    </row>
    <row r="83" spans="1:15" hidden="1" x14ac:dyDescent="0.2">
      <c r="A83" s="248" t="s">
        <v>193</v>
      </c>
      <c r="E83" s="239">
        <v>6577.0859700000001</v>
      </c>
      <c r="N83" s="239">
        <v>9395.7999999999993</v>
      </c>
      <c r="O83" s="245"/>
    </row>
    <row r="84" spans="1:15" hidden="1" x14ac:dyDescent="0.2">
      <c r="A84" s="248" t="s">
        <v>195</v>
      </c>
      <c r="E84" s="239"/>
      <c r="N84" s="239">
        <v>247607.71</v>
      </c>
      <c r="O84" s="245"/>
    </row>
    <row r="85" spans="1:15" hidden="1" x14ac:dyDescent="0.2">
      <c r="A85" s="248" t="s">
        <v>251</v>
      </c>
      <c r="E85" s="239"/>
      <c r="N85" s="239">
        <v>569099.72</v>
      </c>
      <c r="O85" s="245"/>
    </row>
    <row r="86" spans="1:15" hidden="1" x14ac:dyDescent="0.2">
      <c r="A86" s="248" t="s">
        <v>304</v>
      </c>
      <c r="B86" s="239"/>
      <c r="C86" s="239"/>
      <c r="D86" s="239"/>
      <c r="E86" s="239"/>
      <c r="F86" s="239"/>
      <c r="G86" s="239"/>
      <c r="H86" s="239"/>
      <c r="I86" s="239"/>
      <c r="J86" s="239"/>
      <c r="K86" s="239"/>
      <c r="L86" s="239"/>
      <c r="M86" s="239"/>
      <c r="N86" s="239">
        <v>1125967.97034</v>
      </c>
      <c r="O86" s="245"/>
    </row>
    <row r="87" spans="1:15" hidden="1" x14ac:dyDescent="0.2">
      <c r="A87" s="248" t="s">
        <v>305</v>
      </c>
      <c r="B87" s="239"/>
      <c r="C87" s="239"/>
      <c r="D87" s="239"/>
      <c r="E87" s="239"/>
      <c r="F87" s="239"/>
      <c r="G87" s="239"/>
      <c r="H87" s="239"/>
      <c r="I87" s="239"/>
      <c r="J87" s="239"/>
      <c r="K87" s="239"/>
      <c r="L87" s="239"/>
      <c r="M87" s="239"/>
      <c r="N87" s="239">
        <v>415472.31089999998</v>
      </c>
      <c r="O87" s="245"/>
    </row>
    <row r="88" spans="1:15" hidden="1" x14ac:dyDescent="0.2">
      <c r="A88" s="248" t="s">
        <v>306</v>
      </c>
      <c r="B88" s="239"/>
      <c r="C88" s="239"/>
      <c r="D88" s="239"/>
      <c r="E88" s="239"/>
      <c r="F88" s="239"/>
      <c r="G88" s="239"/>
      <c r="H88" s="239"/>
      <c r="I88" s="239"/>
      <c r="J88" s="239"/>
      <c r="K88" s="239"/>
      <c r="L88" s="239"/>
      <c r="M88" s="239"/>
      <c r="N88" s="239">
        <v>1219896.0657000002</v>
      </c>
      <c r="O88" s="245"/>
    </row>
    <row r="89" spans="1:15" hidden="1" x14ac:dyDescent="0.2">
      <c r="A89" s="248" t="s">
        <v>307</v>
      </c>
      <c r="B89" s="239"/>
      <c r="C89" s="239"/>
      <c r="D89" s="239"/>
      <c r="E89" s="239"/>
      <c r="F89" s="239"/>
      <c r="G89" s="239"/>
      <c r="H89" s="239"/>
      <c r="I89" s="239"/>
      <c r="J89" s="239"/>
      <c r="K89" s="239"/>
      <c r="L89" s="239"/>
      <c r="M89" s="239"/>
      <c r="N89" s="239">
        <v>139993.07525999998</v>
      </c>
      <c r="O89" s="245"/>
    </row>
    <row r="90" spans="1:15" hidden="1" x14ac:dyDescent="0.2">
      <c r="A90" s="248" t="s">
        <v>309</v>
      </c>
      <c r="B90" s="239"/>
      <c r="C90" s="239"/>
      <c r="D90" s="239"/>
      <c r="E90" s="239">
        <v>57591.212867999995</v>
      </c>
      <c r="F90" s="239"/>
      <c r="G90" s="239"/>
      <c r="H90" s="239"/>
      <c r="I90" s="239"/>
      <c r="J90" s="239"/>
      <c r="K90" s="239"/>
      <c r="L90" s="239"/>
      <c r="M90" s="239"/>
      <c r="N90" s="239">
        <v>82273.161240000001</v>
      </c>
      <c r="O90" s="245"/>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B32CD-909F-4F39-9961-3AF7FFC168CF}">
  <dimension ref="A1:R7"/>
  <sheetViews>
    <sheetView showGridLines="0" workbookViewId="0">
      <pane xSplit="2" ySplit="1" topLeftCell="C2" activePane="bottomRight" state="frozen"/>
      <selection pane="topRight" activeCell="D1" sqref="D1"/>
      <selection pane="bottomLeft" activeCell="A3" sqref="A3"/>
      <selection pane="bottomRight"/>
    </sheetView>
  </sheetViews>
  <sheetFormatPr defaultRowHeight="12.75" x14ac:dyDescent="0.2"/>
  <cols>
    <col min="1" max="1" width="23.140625" bestFit="1" customWidth="1"/>
    <col min="2" max="2" width="7.5703125" bestFit="1" customWidth="1"/>
    <col min="3" max="18" width="14.7109375" customWidth="1"/>
  </cols>
  <sheetData>
    <row r="1" spans="1:18" s="321" customFormat="1" ht="30" customHeight="1" x14ac:dyDescent="0.2">
      <c r="A1" s="323" t="s">
        <v>259</v>
      </c>
      <c r="B1" s="323" t="s">
        <v>370</v>
      </c>
      <c r="C1" s="324" t="s">
        <v>203</v>
      </c>
      <c r="D1" s="324" t="s">
        <v>204</v>
      </c>
      <c r="E1" s="324" t="s">
        <v>205</v>
      </c>
      <c r="F1" s="324" t="s">
        <v>206</v>
      </c>
      <c r="G1" s="324" t="s">
        <v>207</v>
      </c>
      <c r="H1" s="324" t="s">
        <v>208</v>
      </c>
      <c r="I1" s="324" t="s">
        <v>209</v>
      </c>
      <c r="J1" s="324" t="s">
        <v>210</v>
      </c>
      <c r="K1" s="324" t="s">
        <v>211</v>
      </c>
      <c r="L1" s="324" t="s">
        <v>212</v>
      </c>
      <c r="M1" s="324" t="s">
        <v>213</v>
      </c>
      <c r="N1" s="324" t="s">
        <v>214</v>
      </c>
      <c r="O1" s="324" t="s">
        <v>215</v>
      </c>
      <c r="P1" s="324" t="s">
        <v>216</v>
      </c>
      <c r="Q1" s="324" t="s">
        <v>217</v>
      </c>
      <c r="R1" s="324" t="s">
        <v>218</v>
      </c>
    </row>
    <row r="2" spans="1:18" s="321" customFormat="1" ht="20.100000000000001" customHeight="1" x14ac:dyDescent="0.2">
      <c r="A2" s="321" t="s">
        <v>295</v>
      </c>
      <c r="B2" s="321" t="s">
        <v>371</v>
      </c>
      <c r="C2" s="322">
        <v>2470509.4158861488</v>
      </c>
      <c r="D2" s="322">
        <v>877483.53</v>
      </c>
      <c r="E2" s="322">
        <v>516915.81000000006</v>
      </c>
      <c r="F2" s="322">
        <v>516915.81000000006</v>
      </c>
      <c r="G2" s="322">
        <v>502855.23</v>
      </c>
      <c r="H2" s="322">
        <v>516915.81000000006</v>
      </c>
      <c r="I2" s="322"/>
      <c r="J2" s="322"/>
      <c r="K2" s="322"/>
      <c r="L2" s="322"/>
      <c r="M2" s="322"/>
      <c r="N2" s="322"/>
      <c r="O2" s="322"/>
      <c r="P2" s="322"/>
      <c r="Q2" s="322"/>
      <c r="R2" s="322"/>
    </row>
    <row r="3" spans="1:18" s="321" customFormat="1" ht="20.100000000000001" customHeight="1" x14ac:dyDescent="0.2">
      <c r="A3" s="321" t="s">
        <v>372</v>
      </c>
      <c r="B3" s="321" t="s">
        <v>224</v>
      </c>
      <c r="C3" s="322">
        <v>211932.44820000001</v>
      </c>
      <c r="D3" s="322">
        <v>1514263.0866435755</v>
      </c>
      <c r="E3" s="322">
        <v>190246.48009345998</v>
      </c>
      <c r="F3" s="322">
        <v>298360.25834400003</v>
      </c>
      <c r="G3" s="322">
        <v>0</v>
      </c>
      <c r="H3" s="322">
        <v>219268.968662</v>
      </c>
      <c r="I3" s="322"/>
      <c r="J3" s="322"/>
      <c r="K3" s="322"/>
      <c r="L3" s="322"/>
      <c r="M3" s="322"/>
      <c r="N3" s="322"/>
      <c r="O3" s="322"/>
      <c r="P3" s="322"/>
      <c r="Q3" s="322"/>
      <c r="R3" s="322"/>
    </row>
    <row r="4" spans="1:18" s="321" customFormat="1" ht="20.100000000000001" customHeight="1" x14ac:dyDescent="0.2">
      <c r="A4" s="321" t="s">
        <v>373</v>
      </c>
      <c r="B4" s="321" t="s">
        <v>225</v>
      </c>
      <c r="C4" s="322">
        <v>0</v>
      </c>
      <c r="D4" s="322">
        <v>801675.46308606607</v>
      </c>
      <c r="E4" s="322">
        <v>2926533.7044443935</v>
      </c>
      <c r="F4" s="322">
        <v>91401.595356000005</v>
      </c>
      <c r="G4" s="322">
        <v>580265.88444000005</v>
      </c>
      <c r="H4" s="322">
        <v>44047.494359999997</v>
      </c>
      <c r="I4" s="322"/>
      <c r="J4" s="322"/>
      <c r="K4" s="322"/>
      <c r="L4" s="322"/>
      <c r="M4" s="322"/>
      <c r="N4" s="322"/>
      <c r="O4" s="322"/>
      <c r="P4" s="322"/>
      <c r="Q4" s="322"/>
      <c r="R4" s="322"/>
    </row>
    <row r="5" spans="1:18" s="321" customFormat="1" ht="20.100000000000001" customHeight="1" x14ac:dyDescent="0.2">
      <c r="A5" s="321" t="s">
        <v>297</v>
      </c>
      <c r="B5" s="321" t="s">
        <v>374</v>
      </c>
      <c r="C5" s="322">
        <v>0</v>
      </c>
      <c r="D5" s="322">
        <v>311407.985200194</v>
      </c>
      <c r="E5" s="322">
        <v>1186293.0654126215</v>
      </c>
      <c r="F5" s="322">
        <v>2951322.5199396922</v>
      </c>
      <c r="G5" s="322">
        <v>2089661.6737213971</v>
      </c>
      <c r="H5" s="322">
        <v>1428199.8916884002</v>
      </c>
      <c r="I5" s="322"/>
      <c r="J5" s="322"/>
      <c r="K5" s="322"/>
      <c r="L5" s="322"/>
      <c r="M5" s="322"/>
      <c r="N5" s="322"/>
      <c r="O5" s="322"/>
      <c r="P5" s="322"/>
      <c r="Q5" s="322"/>
      <c r="R5" s="322"/>
    </row>
    <row r="6" spans="1:18" s="321" customFormat="1" ht="20.100000000000001" customHeight="1" x14ac:dyDescent="0.2">
      <c r="A6" s="320"/>
      <c r="B6" s="325" t="s">
        <v>375</v>
      </c>
      <c r="C6" s="320">
        <f>SUM(Tb_ClassFIN[SET.25])</f>
        <v>2682441.8640861488</v>
      </c>
      <c r="D6" s="320">
        <f>SUM(Tb_ClassFIN[OUT.25])</f>
        <v>3504830.064929836</v>
      </c>
      <c r="E6" s="320">
        <f>SUM(Tb_ClassFIN[NOV.25])</f>
        <v>4819989.0599504746</v>
      </c>
      <c r="F6" s="320">
        <f>SUM(Tb_ClassFIN[DEZ.25])</f>
        <v>3858000.1836396921</v>
      </c>
      <c r="G6" s="320">
        <f>SUM(Tb_ClassFIN[JAN.26])</f>
        <v>3172782.788161397</v>
      </c>
      <c r="H6" s="320">
        <f>SUM(Tb_ClassFIN[FEV.26])</f>
        <v>2208432.1647104002</v>
      </c>
      <c r="I6" s="320">
        <f>SUM(Tb_ClassFIN[MAR.26])</f>
        <v>0</v>
      </c>
      <c r="J6" s="320">
        <f>SUM(Tb_ClassFIN[ABR.26])</f>
        <v>0</v>
      </c>
      <c r="K6" s="320">
        <f>SUM(Tb_ClassFIN[MAI.26])</f>
        <v>0</v>
      </c>
      <c r="L6" s="320">
        <f>SUM(Tb_ClassFIN[JUN.26])</f>
        <v>0</v>
      </c>
      <c r="M6" s="320">
        <f>SUM(Tb_ClassFIN[JUL.26])</f>
        <v>0</v>
      </c>
      <c r="N6" s="320">
        <f>SUM(Tb_ClassFIN[AGO.26])</f>
        <v>0</v>
      </c>
      <c r="O6" s="320">
        <f>SUM(Tb_ClassFIN[SET.26])</f>
        <v>0</v>
      </c>
      <c r="P6" s="320">
        <f>SUM(Tb_ClassFIN[OUT.26])</f>
        <v>0</v>
      </c>
      <c r="Q6" s="320">
        <f>SUM(Tb_ClassFIN[NOV.26])</f>
        <v>0</v>
      </c>
      <c r="R6" s="320">
        <f>SUM(Tb_ClassFIN[DEZ.26])</f>
        <v>0</v>
      </c>
    </row>
    <row r="7" spans="1:18" s="321" customFormat="1" ht="20.100000000000001" customHeight="1" x14ac:dyDescent="0.2">
      <c r="A7" s="320"/>
      <c r="B7" s="325" t="s">
        <v>376</v>
      </c>
      <c r="C7" s="320">
        <f>C6</f>
        <v>2682441.8640861488</v>
      </c>
      <c r="D7" s="320">
        <f t="shared" ref="D7:I7" si="0">IF(D6=0,0,C7+D6)</f>
        <v>6187271.9290159848</v>
      </c>
      <c r="E7" s="320">
        <f t="shared" si="0"/>
        <v>11007260.988966459</v>
      </c>
      <c r="F7" s="320">
        <f t="shared" si="0"/>
        <v>14865261.172606152</v>
      </c>
      <c r="G7" s="320">
        <f t="shared" si="0"/>
        <v>18038043.960767549</v>
      </c>
      <c r="H7" s="320">
        <f t="shared" si="0"/>
        <v>20246476.125477947</v>
      </c>
      <c r="I7" s="320">
        <f t="shared" si="0"/>
        <v>0</v>
      </c>
      <c r="J7" s="320">
        <f t="shared" ref="J7:R7" si="1">I7+J6</f>
        <v>0</v>
      </c>
      <c r="K7" s="320">
        <f t="shared" si="1"/>
        <v>0</v>
      </c>
      <c r="L7" s="320">
        <f t="shared" si="1"/>
        <v>0</v>
      </c>
      <c r="M7" s="320">
        <f t="shared" si="1"/>
        <v>0</v>
      </c>
      <c r="N7" s="320">
        <f t="shared" si="1"/>
        <v>0</v>
      </c>
      <c r="O7" s="320">
        <f t="shared" si="1"/>
        <v>0</v>
      </c>
      <c r="P7" s="320">
        <f t="shared" si="1"/>
        <v>0</v>
      </c>
      <c r="Q7" s="320">
        <f t="shared" si="1"/>
        <v>0</v>
      </c>
      <c r="R7" s="320">
        <f t="shared" si="1"/>
        <v>0</v>
      </c>
    </row>
  </sheetData>
  <pageMargins left="0.511811024" right="0.511811024" top="0.78740157499999996" bottom="0.78740157499999996" header="0.31496062000000002" footer="0.31496062000000002"/>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F15E94D6B1157940A0CA2AF9B85E58E1" ma:contentTypeVersion="4" ma:contentTypeDescription="Crie um novo documento." ma:contentTypeScope="" ma:versionID="39361ba302ddadfcc412d1cdb8bafc87">
  <xsd:schema xmlns:xsd="http://www.w3.org/2001/XMLSchema" xmlns:xs="http://www.w3.org/2001/XMLSchema" xmlns:p="http://schemas.microsoft.com/office/2006/metadata/properties" xmlns:ns3="7e6ce312-06d6-486b-a9ca-a31f738f0b04" targetNamespace="http://schemas.microsoft.com/office/2006/metadata/properties" ma:root="true" ma:fieldsID="a4a26e20636bb76e8004f8486fbf7fa0" ns3:_="">
    <xsd:import namespace="7e6ce312-06d6-486b-a9ca-a31f738f0b04"/>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e6ce312-06d6-486b-a9ca-a31f738f0b0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EA551F0-792C-4D4A-9E0B-4D252EED5649}">
  <ds:schemaRefs>
    <ds:schemaRef ds:uri="http://schemas.microsoft.com/sharepoint/v3/contenttype/forms"/>
  </ds:schemaRefs>
</ds:datastoreItem>
</file>

<file path=customXml/itemProps2.xml><?xml version="1.0" encoding="utf-8"?>
<ds:datastoreItem xmlns:ds="http://schemas.openxmlformats.org/officeDocument/2006/customXml" ds:itemID="{700F2F37-256C-4A34-92D4-4A6B49ACD86A}">
  <ds:schemaRefs>
    <ds:schemaRef ds:uri="7e6ce312-06d6-486b-a9ca-a31f738f0b04"/>
    <ds:schemaRef ds:uri="http://purl.org/dc/elements/1.1/"/>
    <ds:schemaRef ds:uri="http://schemas.microsoft.com/office/2006/documentManagement/types"/>
    <ds:schemaRef ds:uri="http://purl.org/dc/terms/"/>
    <ds:schemaRef ds:uri="http://www.w3.org/XML/1998/namespace"/>
    <ds:schemaRef ds:uri="http://schemas.microsoft.com/office/2006/metadata/properties"/>
    <ds:schemaRef ds:uri="http://schemas.microsoft.com/office/infopath/2007/PartnerControls"/>
    <ds:schemaRef ds:uri="http://schemas.openxmlformats.org/package/2006/metadata/core-properties"/>
    <ds:schemaRef ds:uri="http://purl.org/dc/dcmitype/"/>
  </ds:schemaRefs>
</ds:datastoreItem>
</file>

<file path=customXml/itemProps3.xml><?xml version="1.0" encoding="utf-8"?>
<ds:datastoreItem xmlns:ds="http://schemas.openxmlformats.org/officeDocument/2006/customXml" ds:itemID="{7C14967C-2AC2-4FE8-A08D-4B492E508C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e6ce312-06d6-486b-a9ca-a31f738f0b0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7</vt:i4>
      </vt:variant>
      <vt:variant>
        <vt:lpstr>Intervalos Nomeados</vt:lpstr>
      </vt:variant>
      <vt:variant>
        <vt:i4>1</vt:i4>
      </vt:variant>
    </vt:vector>
  </HeadingPairs>
  <TitlesOfParts>
    <vt:vector size="8" baseType="lpstr">
      <vt:lpstr>DASH</vt:lpstr>
      <vt:lpstr>TAB-DIN</vt:lpstr>
      <vt:lpstr>CGO</vt:lpstr>
      <vt:lpstr>CTRL_SS</vt:lpstr>
      <vt:lpstr>DISTR-FIN</vt:lpstr>
      <vt:lpstr>CLASS-FIN0</vt:lpstr>
      <vt:lpstr>CLASS-FIN</vt:lpstr>
      <vt:lpstr>CGO!Titulos_de_impressao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Gilmar</dc:creator>
  <cp:lastModifiedBy>Usuário</cp:lastModifiedBy>
  <cp:lastPrinted>2024-05-25T19:25:05Z</cp:lastPrinted>
  <dcterms:created xsi:type="dcterms:W3CDTF">2016-09-29T17:15:26Z</dcterms:created>
  <dcterms:modified xsi:type="dcterms:W3CDTF">2026-03-04T20:17:32Z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0x010100F15E94D6B1157940A0CA2AF9B85E58E1</vt:lpwstr>
  </property>
</Properties>
</file>